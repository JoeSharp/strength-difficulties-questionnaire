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34" documentId="8_{033C26B4-F832-4549-BDDF-4BA582DF0E88}" xr6:coauthVersionLast="47" xr6:coauthVersionMax="47" xr10:uidLastSave="{F19A8436-4247-4B02-8AB6-405407116F99}"/>
  <bookViews>
    <workbookView xWindow="-120" yWindow="-120" windowWidth="20730" windowHeight="11160" firstSheet="1" activeTab="2"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<sst xmlns="http://schemas.openxmlformats.org/spreadsheetml/2006/main" count="3190" uniqueCount="237">
  <si>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</si>
  <si>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</si>
  <si>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</si>
  <si>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</si>
  <si>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</si>
  <si>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</si>
  <si>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</si>
  <si>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</si>
  <si>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</si>
  <si>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</si>
  <si>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</si>
  <si>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</si>
  <si>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</si>
  <si>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</si>
  <si>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</si>
  <si>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</si>
  <si>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</si>
  <si>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</si>
  <si>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</si>
  <si>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</si>
  <si>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</si>
  <si>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</si>
  <si>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</si>
  <si>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</si>
  <si>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</si>
  <si>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</si>
  <si>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</si>
  <si>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</si>
  <si>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</si>
  <si>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</si>
  <si>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</si>
  <si>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</si>
  <si>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</si>
  <si>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</si>
  <si>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</si>
  <si>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</si>
  <si>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</si>
  <si>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</si>
  <si>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</si>
  <si>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</si>
  <si>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</si>
  <si>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</si>
  <si>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</si>
  <si>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</si>
  <si>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</si>
  <si>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</si>
  <si>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</si>
  <si>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</si>
  <si>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</si>
  <si>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</si>
  <si>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</si>
  <si>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</si>
  <si>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</si>
  <si>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</si>
  <si>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</si>
  <si>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</si>
  <si>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</si>
  <si>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</si>
  <si>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</si>
  <si>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</si>
  <si>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</si>
  <si>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</si>
  <si>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</si>
  <si>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</si>
  <si>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</si>
  <si>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</si>
  <si>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</si>
  <si>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</si>
  <si>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</si>
  <si>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</si>
  <si>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</si>
  <si>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</si>
  <si>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</si>
  <si>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</si>
  <si>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</si>
  <si>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</si>
  <si>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</si>
  <si>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</si>
  <si>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</si>
  <si>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</si>
  <si>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</si>
  <si>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</si>
  <si>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</si>
  <si>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</si>
  <si>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</si>
  <si>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</si>
  <si>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</si>
  <si>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</si>
  <si>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</si>
  <si>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</si>
  <si>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</si>
  <si>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</si>
  <si>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</si>
  <si>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</si>
  <si>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</si>
  <si>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</si>
  <si>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</si>
  <si>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</si>
  <si>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</si>
  <si>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</si>
  <si>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</si>
  <si>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</si>
  <si>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</si>
  <si>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</si>
  <si>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</si>
  <si>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</si>
  <si>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</si>
  <si>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</si>
  <si>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</si>
  <si>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</si>
  <si>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</si>
  <si>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</si>
  <si>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</si>
  <si>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</si>
  <si>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</si>
  <si>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</si>
  <si>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</si>
  <si>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</si>
  <si>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</si>
  <si>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</si>
  <si>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</si>
  <si>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</si>
  <si>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</si>
  <si>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</si>
  <si>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</si>
  <si>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</si>
  <si>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</si>
  <si>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</si>
  <si>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</si>
  <si>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</si>
  <si>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</si>
  <si>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</si>
  <si>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</si>
  <si>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</si>
  <si>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</si>
  <si>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</si>
  <si>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</si>
  <si>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</si>
  <si>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</si>
  <si>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</si>
  <si>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</si>
  <si>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</si>
  <si>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</si>
  <si>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</si>
  <si>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</si>
  <si>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</si>
  <si>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</si>
  <si>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</si>
  <si>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</si>
  <si>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</si>
  <si>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</si>
  <si>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</si>
  <si>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</si>
  <si>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</si>
  <si>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</si>
  <si>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</si>
  <si>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</si>
  <si>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</si>
  <si>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</si>
  <si>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</si>
  <si>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</si>
  <si>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</si>
  <si>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</si>
  <si>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</si>
  <si>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</si>
  <si>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</si>
  <si>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</si>
  <si>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</si>
  <si>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</si>
  <si>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</si>
  <si>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</si>
  <si>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</si>
  <si>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</si>
  <si>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</si>
  <si>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</si>
  <si>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</si>
  <si>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</si>
  <si>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</si>
  <si>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</si>
  <si>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</si>
  <si>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</si>
  <si>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</si>
  <si>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</si>
  <si>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</si>
  <si>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</si>
  <si>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</si>
  <si>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</si>
  <si>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</si>
  <si>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</si>
  <si>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</si>
  <si>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</si>
  <si>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</si>
  <si>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</si>
  <si>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</si>
  <si>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</si>
  <si>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</si>
  <si>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</si>
  <si>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</si>
  <si>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</si>
  <si>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</si>
  <si>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</si>
  <si>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</si>
  <si>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</si>
  <si>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</si>
  <si>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</si>
  <si>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</si>
  <si>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</si>
  <si>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</si>
  <si>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</si>
  <si>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</si>
  <si>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</si>
  <si>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</si>
  <si>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</si>
  <si>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</si>
  <si>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</si>
  <si>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No</t>
  </si>
  <si>
    <t>CCPT</t>
  </si>
  <si>
    <t>N/A</t>
  </si>
  <si>
    <t>EHCP</t>
  </si>
  <si>
    <t>DB</t>
  </si>
  <si>
    <t>Behavioural</t>
  </si>
  <si>
    <t>Relational</t>
  </si>
  <si>
    <t>ABC</t>
  </si>
  <si>
    <t>BK</t>
  </si>
  <si>
    <t>BCD</t>
  </si>
  <si>
    <t>DE</t>
  </si>
  <si>
    <t>Yes</t>
  </si>
  <si>
    <t>Male</t>
  </si>
  <si>
    <t>White British</t>
  </si>
  <si>
    <t>Disability</t>
  </si>
  <si>
    <t>IA</t>
  </si>
  <si>
    <t>AB</t>
  </si>
  <si>
    <t>Cheltenham</t>
  </si>
  <si>
    <t>Long Term or Chronic Illness</t>
  </si>
  <si>
    <t>Self Esteem/Confidence</t>
  </si>
  <si>
    <t>Trauma Recovery</t>
  </si>
  <si>
    <t>EC0004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</si>
</sst>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xf numFmtId="167" fontId="0" fillId="7" borderId="22" xfId="0" applyNumberFormat="1" applyFill="1" applyBorder="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7" t="s">
        <v>157</v>
      </c>
      <c r="G15" s="147"/>
      <c r="H15" s="147"/>
      <c r="I15" s="147"/>
      <c r="J15" s="147"/>
      <c r="K15" s="147"/>
      <c r="L15" s="147"/>
      <c r="M15" s="147"/>
      <c r="N15" s="147"/>
      <c r="O15" s="147"/>
      <c r="P15" s="147"/>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tabSelected="1" topLeftCell="F1"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80">
        <v>41760</v>
      </c>
      <c r="B2" s="55" t="s">
        <v>227</v>
      </c>
      <c r="C2" s="55" t="s">
        <v>232</v>
      </c>
      <c r="D2" s="56" t="s">
        <v>228</v>
      </c>
      <c r="E2" s="55" t="s">
        <v>215</v>
      </c>
      <c r="F2" s="55" t="s">
        <v>229</v>
      </c>
      <c r="G2" s="55" t="s">
        <v>233</v>
      </c>
      <c r="H2" s="55" t="s">
        <v>215</v>
      </c>
      <c r="I2" s="55" t="s">
        <v>216</v>
      </c>
      <c r="J2" s="55" t="s">
        <v>230</v>
      </c>
      <c r="K2" s="55" t="s">
        <v>217</v>
      </c>
      <c r="L2" s="55" t="s">
        <v>217</v>
      </c>
      <c r="M2" s="55">
        <v>1</v>
      </c>
      <c r="N2" s="57" t="s">
        <v>218</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E17" sqref="E17"/>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231</v>
      </c>
      <c r="E9" s="152" t="s">
        <v>134</v>
      </c>
      <c r="F9" s="152"/>
      <c r="G9" s="152"/>
      <c r="H9" s="152"/>
      <c r="I9" s="152"/>
      <c r="J9" s="153"/>
    </row>
    <row r="10" spans="3:17" ht="15.75" thickBot="1" x14ac:dyDescent="0.3">
      <c r="E10" s="59">
        <v>1</v>
      </c>
      <c r="F10" s="60">
        <v>2</v>
      </c>
      <c r="G10" s="60">
        <v>3</v>
      </c>
      <c r="H10" s="60">
        <v>4</v>
      </c>
      <c r="I10" s="61">
        <v>5</v>
      </c>
      <c r="J10" s="61">
        <v>6</v>
      </c>
    </row>
    <row r="11" spans="3:17" ht="15.75" thickBot="1" x14ac:dyDescent="0.3">
      <c r="E11" s="62" t="s">
        <v>3</v>
      </c>
      <c r="F11" s="62" t="s">
        <v>220</v>
      </c>
      <c r="G11" s="62" t="s">
        <v>235</v>
      </c>
      <c r="H11" s="62" t="s">
        <v>234</v>
      </c>
      <c r="I11" s="62"/>
      <c r="J11" s="62"/>
      <c r="L11" s="148" t="s">
        <v>192</v>
      </c>
      <c r="M11" s="149"/>
      <c r="N11" s="149"/>
      <c r="O11" s="149"/>
      <c r="P11" s="149"/>
      <c r="Q11" s="150"/>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6</v>
      </c>
      <c r="F13" s="121">
        <v>3</v>
      </c>
      <c r="G13" s="121">
        <v>3</v>
      </c>
      <c r="H13" s="121">
        <v>2</v>
      </c>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6</v>
      </c>
      <c r="F14" s="39">
        <v>3</v>
      </c>
      <c r="G14" s="39">
        <v>3</v>
      </c>
      <c r="H14" s="39">
        <v>2</v>
      </c>
      <c r="I14" s="39"/>
      <c r="J14" s="119"/>
      <c r="L14" s="117" t="str">
        <f t="shared" si="0"/>
        <v>✓</v>
      </c>
      <c r="M14" s="8" t="str">
        <f t="shared" si="1"/>
        <v>✓</v>
      </c>
      <c r="N14" s="8" t="str">
        <f t="shared" si="2"/>
        <v>✓</v>
      </c>
      <c r="O14" s="8" t="str">
        <f t="shared" si="3"/>
        <v>✓</v>
      </c>
      <c r="P14" s="8" t="str">
        <f t="shared" si="4"/>
        <v/>
      </c>
      <c r="Q14" s="118" t="str">
        <f t="shared" ref="Q14:Q21" si="5">IF(OR(LEN(TRIM(J14))&gt;0, LEN(TRIM(J37))&gt;0, LEN(TRIM(J60))&gt;0, LEN(TRIM(J83))&gt;0), "✓", "")</f>
        <v/>
      </c>
    </row>
    <row r="15" spans="3:17" x14ac:dyDescent="0.25">
      <c r="C15" s="63" t="s">
        <v>77</v>
      </c>
      <c r="D15" s="38">
        <v>45839</v>
      </c>
      <c r="E15" s="39">
        <v>7</v>
      </c>
      <c r="F15" s="39">
        <v>3</v>
      </c>
      <c r="G15" s="39">
        <v>4</v>
      </c>
      <c r="H15" s="39">
        <v>2</v>
      </c>
      <c r="I15" s="39"/>
      <c r="J15" s="119"/>
      <c r="L15" s="117" t="str">
        <f t="shared" si="0"/>
        <v>✓</v>
      </c>
      <c r="M15" s="8" t="str">
        <f t="shared" si="1"/>
        <v>✓</v>
      </c>
      <c r="N15" s="8" t="str">
        <f t="shared" si="2"/>
        <v>✓</v>
      </c>
      <c r="O15" s="8" t="str">
        <f t="shared" si="3"/>
        <v>✓</v>
      </c>
      <c r="P15" s="8" t="str">
        <f t="shared" si="4"/>
        <v/>
      </c>
      <c r="Q15" s="118" t="str">
        <f t="shared" si="5"/>
        <v/>
      </c>
    </row>
    <row r="16" spans="3:17" x14ac:dyDescent="0.25">
      <c r="C16" s="63" t="s">
        <v>79</v>
      </c>
      <c r="D16" s="38">
        <v>45931</v>
      </c>
      <c r="E16" s="39">
        <v>8</v>
      </c>
      <c r="F16" s="39">
        <v>4</v>
      </c>
      <c r="G16" s="39">
        <v>5</v>
      </c>
      <c r="H16" s="39">
        <v>3</v>
      </c>
      <c r="I16" s="39"/>
      <c r="J16" s="119"/>
      <c r="L16" s="117" t="str">
        <f t="shared" si="0"/>
        <v>✓</v>
      </c>
      <c r="M16" s="8" t="str">
        <f t="shared" si="1"/>
        <v>✓</v>
      </c>
      <c r="N16" s="8" t="str">
        <f t="shared" si="2"/>
        <v>✓</v>
      </c>
      <c r="O16" s="8" t="str">
        <f t="shared" si="3"/>
        <v>✓</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1" t="s">
        <v>137</v>
      </c>
      <c r="F32" s="152"/>
      <c r="G32" s="152"/>
      <c r="H32" s="152"/>
      <c r="I32" s="152"/>
      <c r="J32" s="153"/>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Complete</v>
      </c>
      <c r="P33" s="84" t="str">
        <f t="shared" si="11"/>
        <v/>
      </c>
      <c r="Q33" s="84" t="str">
        <f t="shared" si="11"/>
        <v/>
      </c>
    </row>
    <row r="34" spans="2:17" ht="15.75" thickBot="1" x14ac:dyDescent="0.3">
      <c r="E34" s="116" t="s">
        <v>3</v>
      </c>
      <c r="F34" s="116" t="s">
        <v>220</v>
      </c>
      <c r="G34" s="116" t="s">
        <v>221</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4" t="s">
        <v>193</v>
      </c>
      <c r="M35" s="155"/>
      <c r="N35" s="155"/>
      <c r="O35" s="156"/>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1" t="s">
        <v>120</v>
      </c>
      <c r="F55" s="152"/>
      <c r="G55" s="152"/>
      <c r="H55" s="152"/>
      <c r="I55" s="152"/>
      <c r="J55" s="153"/>
    </row>
    <row r="56" spans="2:15" ht="15.75" thickBot="1" x14ac:dyDescent="0.3">
      <c r="E56" s="59">
        <v>1</v>
      </c>
      <c r="F56" s="60">
        <v>2</v>
      </c>
      <c r="G56" s="60">
        <v>3</v>
      </c>
      <c r="H56" s="60">
        <v>4</v>
      </c>
      <c r="I56" s="61">
        <v>5</v>
      </c>
      <c r="J56" s="61">
        <v>6</v>
      </c>
    </row>
    <row r="57" spans="2:15" ht="15.75" thickBot="1" x14ac:dyDescent="0.3">
      <c r="E57" s="116" t="s">
        <v>3</v>
      </c>
      <c r="F57" s="116" t="s">
        <v>220</v>
      </c>
      <c r="G57" s="116" t="s">
        <v>221</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1" t="s">
        <v>133</v>
      </c>
      <c r="F78" s="152"/>
      <c r="G78" s="152"/>
      <c r="H78" s="152"/>
      <c r="I78" s="152"/>
      <c r="J78" s="153"/>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231</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0"/>
      <c r="O78" s="160"/>
      <c r="P78" s="160"/>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0"/>
      <c r="O78" s="160"/>
      <c r="P78" s="160"/>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231</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231</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7" t="s">
        <v>21</v>
      </c>
      <c r="P14" s="158"/>
      <c r="Q14" s="158"/>
      <c r="R14" s="159"/>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1" t="s">
        <v>210</v>
      </c>
      <c r="D4" s="162"/>
      <c r="E4" s="163"/>
      <c r="F4" s="161" t="s">
        <v>211</v>
      </c>
      <c r="G4" s="162"/>
      <c r="H4" s="163"/>
      <c r="I4" s="161" t="s">
        <v>19</v>
      </c>
      <c r="J4" s="162"/>
      <c r="K4" s="163"/>
      <c r="L4" s="161" t="s">
        <v>20</v>
      </c>
      <c r="M4" s="162"/>
      <c r="N4" s="163"/>
      <c r="O4" s="164" t="s">
        <v>191</v>
      </c>
      <c r="P4" s="165"/>
      <c r="Q4" s="165"/>
      <c r="R4" s="166"/>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7"/>
      <c r="P5" s="168"/>
      <c r="Q5" s="168"/>
      <c r="R5" s="169"/>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1" t="s">
        <v>210</v>
      </c>
      <c r="D4" s="162"/>
      <c r="E4" s="162"/>
      <c r="F4" s="162"/>
      <c r="G4" s="162"/>
      <c r="H4" s="163"/>
      <c r="I4" s="161" t="s">
        <v>212</v>
      </c>
      <c r="J4" s="162"/>
      <c r="K4" s="162"/>
      <c r="L4" s="162"/>
      <c r="M4" s="162"/>
      <c r="N4" s="163"/>
      <c r="O4" s="161" t="s">
        <v>189</v>
      </c>
      <c r="P4" s="162"/>
      <c r="Q4" s="162"/>
      <c r="R4" s="162"/>
      <c r="S4" s="162"/>
      <c r="T4" s="163"/>
      <c r="U4" s="161" t="s">
        <v>190</v>
      </c>
      <c r="V4" s="162"/>
      <c r="W4" s="162"/>
      <c r="X4" s="162"/>
      <c r="Y4" s="162"/>
      <c r="Z4" s="163"/>
      <c r="AA4" s="164" t="s">
        <v>191</v>
      </c>
      <c r="AB4" s="165"/>
      <c r="AC4" s="165"/>
      <c r="AD4" s="166"/>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7"/>
      <c r="AB5" s="168"/>
      <c r="AC5" s="168"/>
      <c r="AD5" s="169"/>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1" t="s">
        <v>210</v>
      </c>
      <c r="D4" s="162"/>
      <c r="E4" s="162"/>
      <c r="F4" s="162"/>
      <c r="G4" s="162"/>
      <c r="H4" s="162"/>
      <c r="I4" s="162"/>
      <c r="J4" s="162"/>
      <c r="K4" s="163"/>
      <c r="L4" s="161" t="s">
        <v>212</v>
      </c>
      <c r="M4" s="162"/>
      <c r="N4" s="162"/>
      <c r="O4" s="162"/>
      <c r="P4" s="162"/>
      <c r="Q4" s="162"/>
      <c r="R4" s="162"/>
      <c r="S4" s="162"/>
      <c r="T4" s="163"/>
      <c r="U4" s="161" t="s">
        <v>189</v>
      </c>
      <c r="V4" s="162"/>
      <c r="W4" s="162"/>
      <c r="X4" s="162"/>
      <c r="Y4" s="162"/>
      <c r="Z4" s="162"/>
      <c r="AA4" s="162"/>
      <c r="AB4" s="162"/>
      <c r="AC4" s="163"/>
      <c r="AD4" s="161" t="s">
        <v>190</v>
      </c>
      <c r="AE4" s="162"/>
      <c r="AF4" s="162"/>
      <c r="AG4" s="162"/>
      <c r="AH4" s="162"/>
      <c r="AI4" s="162"/>
      <c r="AJ4" s="162"/>
      <c r="AK4" s="162"/>
      <c r="AL4" s="163"/>
      <c r="AM4" s="164" t="s">
        <v>191</v>
      </c>
      <c r="AN4" s="165"/>
      <c r="AO4" s="165"/>
      <c r="AP4" s="166"/>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7"/>
      <c r="AN5" s="168"/>
      <c r="AO5" s="168"/>
      <c r="AP5" s="169"/>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7" t="s">
        <v>157</v>
      </c>
      <c r="G7" s="147"/>
      <c r="H7" s="147"/>
      <c r="I7" s="147"/>
      <c r="J7" s="147"/>
      <c r="K7" s="147"/>
      <c r="L7" s="147"/>
      <c r="M7" s="147"/>
      <c r="N7" s="147"/>
      <c r="O7" s="147"/>
      <c r="P7" s="147"/>
      <c r="Q7" s="5"/>
    </row>
    <row r="8" spans="3:17" x14ac:dyDescent="0.25">
      <c r="C8" s="4"/>
      <c r="F8" s="147" t="s">
        <v>158</v>
      </c>
      <c r="G8" s="147"/>
      <c r="H8" s="147"/>
      <c r="I8" s="147"/>
      <c r="J8" s="147"/>
      <c r="K8" s="147"/>
      <c r="L8" s="147"/>
      <c r="M8" s="147"/>
      <c r="N8" s="147"/>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zoomScale="90" zoomScaleNormal="90" workbookViewId="0">
      <selection activeCell="E4" sqref="E4"/>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236</v>
      </c>
      <c r="H3" s="25" t="s">
        <v>170</v>
      </c>
      <c r="M3" s="24"/>
    </row>
    <row r="4" spans="2:13" x14ac:dyDescent="0.25">
      <c r="B4" s="23"/>
      <c r="H4" s="25"/>
      <c r="M4" s="24"/>
    </row>
    <row r="5" spans="2:13" x14ac:dyDescent="0.25">
      <c r="B5" s="23"/>
      <c r="H5" s="25" t="s">
        <v>171</v>
      </c>
      <c r="I5" s="19" t="s">
        <v>224</v>
      </c>
      <c r="M5" s="24"/>
    </row>
    <row r="6" spans="2:13" ht="15.75" thickBot="1" x14ac:dyDescent="0.3">
      <c r="B6" s="23"/>
      <c r="C6" s="25"/>
      <c r="H6" s="25"/>
      <c r="M6" s="24"/>
    </row>
    <row r="7" spans="2:13" ht="15.75" thickBot="1" x14ac:dyDescent="0.3">
      <c r="B7" s="23"/>
      <c r="D7" s="26" t="s">
        <v>155</v>
      </c>
      <c r="E7" s="88" t="s">
        <v>226</v>
      </c>
      <c r="F7" s="27"/>
      <c r="H7" s="25" t="s">
        <v>85</v>
      </c>
      <c r="I7" s="179">
        <v>45962</v>
      </c>
      <c r="J7" s="25"/>
      <c r="M7" s="24"/>
    </row>
    <row r="8" spans="2:13" ht="15.75" thickBot="1" x14ac:dyDescent="0.3">
      <c r="B8" s="23"/>
      <c r="D8" s="26" t="s">
        <v>85</v>
      </c>
      <c r="E8" s="89">
        <v>45962</v>
      </c>
      <c r="G8" s="27"/>
      <c r="M8" s="24"/>
    </row>
    <row r="9" spans="2:13" ht="15.75" thickBot="1" x14ac:dyDescent="0.3">
      <c r="B9" s="23"/>
      <c r="D9" s="26" t="s">
        <v>92</v>
      </c>
      <c r="E9" s="88" t="s">
        <v>226</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1" t="s">
        <v>118</v>
      </c>
      <c r="F26" s="153"/>
      <c r="G26" s="29"/>
      <c r="H26" s="148" t="s">
        <v>119</v>
      </c>
      <c r="I26" s="149"/>
      <c r="J26" s="149"/>
      <c r="K26" s="149"/>
      <c r="L26" s="150"/>
      <c r="M26" s="24"/>
    </row>
    <row r="27" spans="2:13" ht="15.75" thickBot="1" x14ac:dyDescent="0.3">
      <c r="B27" s="23"/>
      <c r="E27" s="30" t="s">
        <v>91</v>
      </c>
      <c r="F27" s="30" t="s">
        <v>91</v>
      </c>
      <c r="G27" s="29"/>
      <c r="H27" s="174" t="s">
        <v>123</v>
      </c>
      <c r="I27" s="175"/>
      <c r="J27" s="175"/>
      <c r="K27" s="175"/>
      <c r="L27" s="176"/>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222</v>
      </c>
      <c r="I29" s="38">
        <v>45962</v>
      </c>
      <c r="J29" s="38" t="s">
        <v>225</v>
      </c>
      <c r="K29" s="39" t="s">
        <v>223</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222</v>
      </c>
      <c r="I30" s="38">
        <v>45962</v>
      </c>
      <c r="J30" s="38" t="s">
        <v>225</v>
      </c>
      <c r="K30" s="39" t="s">
        <v>223</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222</v>
      </c>
      <c r="I31" s="38">
        <v>45962</v>
      </c>
      <c r="J31" s="38" t="s">
        <v>225</v>
      </c>
      <c r="K31" s="39" t="s">
        <v>223</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222</v>
      </c>
      <c r="I32" s="38">
        <v>45962</v>
      </c>
      <c r="J32" s="38" t="s">
        <v>225</v>
      </c>
      <c r="K32" s="39" t="s">
        <v>223</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1" t="s">
        <v>154</v>
      </c>
      <c r="G42" s="152"/>
      <c r="H42" s="152"/>
      <c r="I42" s="152"/>
      <c r="J42" s="152"/>
      <c r="K42" s="152"/>
      <c r="L42" s="153"/>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226</v>
      </c>
      <c r="F44" s="177"/>
      <c r="G44" s="177"/>
      <c r="H44" s="177"/>
      <c r="I44" s="177"/>
      <c r="J44" s="177"/>
      <c r="K44" s="177"/>
      <c r="L44" s="178"/>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226</v>
      </c>
      <c r="F45" s="170"/>
      <c r="G45" s="170"/>
      <c r="H45" s="170"/>
      <c r="I45" s="170"/>
      <c r="J45" s="170"/>
      <c r="K45" s="170"/>
      <c r="L45" s="171"/>
      <c r="M45" s="24"/>
    </row>
    <row r="46" spans="2:13" x14ac:dyDescent="0.25">
      <c r="B46" s="23"/>
      <c r="C46" s="86" t="s">
        <v>144</v>
      </c>
      <c r="D46" s="108" t="str" cm="1">
        <f t="array" ref="D46">IF(SUMPRODUCT(--(TRIM('SDQ Period 1'!K45:K48)&lt;&gt;""))=0, "", IF(COUNTIF('SDQ Period 1'!K45:K48, "Incomplete")&gt;0, "Incomplete", "Complete"))</f>
        <v>Complete</v>
      </c>
      <c r="E46" s="95" t="s">
        <v>226</v>
      </c>
      <c r="F46" s="170"/>
      <c r="G46" s="170"/>
      <c r="H46" s="170"/>
      <c r="I46" s="170"/>
      <c r="J46" s="170"/>
      <c r="K46" s="170"/>
      <c r="L46" s="171"/>
      <c r="M46" s="24"/>
    </row>
    <row r="47" spans="2:13" x14ac:dyDescent="0.25">
      <c r="B47" s="23"/>
      <c r="C47" s="86" t="s">
        <v>145</v>
      </c>
      <c r="D47" s="108" t="str" cm="1">
        <f t="array" ref="D47">IF(SUMPRODUCT(--(TRIM('SDQ Period 2'!K45:K48)&lt;&gt;""))=0, "", IF(COUNTIF('SDQ Period 2'!K45:K48, "Incomplete")&gt;0, "Incomplete", "Complete"))</f>
        <v>Complete</v>
      </c>
      <c r="E47" s="95" t="s">
        <v>226</v>
      </c>
      <c r="F47" s="170"/>
      <c r="G47" s="170"/>
      <c r="H47" s="170"/>
      <c r="I47" s="170"/>
      <c r="J47" s="170"/>
      <c r="K47" s="170"/>
      <c r="L47" s="171"/>
      <c r="M47" s="24"/>
    </row>
    <row r="48" spans="2:13" x14ac:dyDescent="0.25">
      <c r="B48" s="23"/>
      <c r="C48" s="86" t="s">
        <v>146</v>
      </c>
      <c r="D48" s="108" t="str" cm="1">
        <f t="array" ref="D48">IF(SUMPRODUCT(--(TRIM('SDQ Period 3'!K45:K48)&lt;&gt;""))=0, "", IF(COUNTIF('SDQ Period 3'!K45:K48, "Incomplete")&gt;0, "Incomplete", "Complete"))</f>
        <v>Complete</v>
      </c>
      <c r="E48" s="95" t="s">
        <v>226</v>
      </c>
      <c r="F48" s="170"/>
      <c r="G48" s="170"/>
      <c r="H48" s="170"/>
      <c r="I48" s="170"/>
      <c r="J48" s="170"/>
      <c r="K48" s="170"/>
      <c r="L48" s="171"/>
      <c r="M48" s="24"/>
    </row>
    <row r="49" spans="2:13" x14ac:dyDescent="0.25">
      <c r="B49" s="23"/>
      <c r="C49" s="86" t="s">
        <v>147</v>
      </c>
      <c r="D49" s="108" t="str" cm="1">
        <f t="array" ref="D49">IF(SUMPRODUCT(--(TRIM('SDQ Period 4'!K45:K48)&lt;&gt;""))=0, "", IF(COUNTIF('SDQ Period 4'!K45:K48, "Incomplete")&gt;0, "Incomplete", "Complete"))</f>
        <v>Complete</v>
      </c>
      <c r="E49" s="95" t="s">
        <v>226</v>
      </c>
      <c r="F49" s="170"/>
      <c r="G49" s="170"/>
      <c r="H49" s="170"/>
      <c r="I49" s="170"/>
      <c r="J49" s="170"/>
      <c r="K49" s="170"/>
      <c r="L49" s="171"/>
      <c r="M49" s="24"/>
    </row>
    <row r="50" spans="2:13" x14ac:dyDescent="0.25">
      <c r="B50" s="23"/>
      <c r="C50" s="86" t="s">
        <v>148</v>
      </c>
      <c r="D50" s="108" t="str" cm="1">
        <f t="array" ref="D50">IF(SUMPRODUCT(--(TRIM('SDQ Period 5'!K45:K48)&lt;&gt;""))=0, "", IF(COUNTIF('SDQ Period 5'!K45:K48, "Incomplete")&gt;0, "Incomplete", "Complete"))</f>
        <v/>
      </c>
      <c r="E50" s="95"/>
      <c r="F50" s="170"/>
      <c r="G50" s="170"/>
      <c r="H50" s="170"/>
      <c r="I50" s="170"/>
      <c r="J50" s="170"/>
      <c r="K50" s="170"/>
      <c r="L50" s="171"/>
      <c r="M50" s="24"/>
    </row>
    <row r="51" spans="2:13" x14ac:dyDescent="0.25">
      <c r="B51" s="23"/>
      <c r="C51" s="86" t="s">
        <v>149</v>
      </c>
      <c r="D51" s="108" t="str" cm="1">
        <f t="array" ref="D51">IF(SUMPRODUCT(--(TRIM('SDQ Period 6'!K45:K48)&lt;&gt;""))=0, "", IF(COUNTIF('SDQ Period 6'!K45:K48, "Incomplete")&gt;0, "Incomplete", "Complete"))</f>
        <v/>
      </c>
      <c r="E51" s="95"/>
      <c r="F51" s="170"/>
      <c r="G51" s="170"/>
      <c r="H51" s="170"/>
      <c r="I51" s="170"/>
      <c r="J51" s="170"/>
      <c r="K51" s="170"/>
      <c r="L51" s="171"/>
      <c r="M51" s="24"/>
    </row>
    <row r="52" spans="2:13" x14ac:dyDescent="0.25">
      <c r="B52" s="23"/>
      <c r="C52" s="86" t="s">
        <v>150</v>
      </c>
      <c r="D52" s="108" t="str" cm="1">
        <f t="array" ref="D52">IF(SUMPRODUCT(--(TRIM('SDQ Period 7'!K45:K48)&lt;&gt;""))=0, "", IF(COUNTIF('SDQ Period 7'!K45:K48, "Incomplete")&gt;0, "Incomplete", "Complete"))</f>
        <v/>
      </c>
      <c r="E52" s="95"/>
      <c r="F52" s="170"/>
      <c r="G52" s="170"/>
      <c r="H52" s="170"/>
      <c r="I52" s="170"/>
      <c r="J52" s="170"/>
      <c r="K52" s="170"/>
      <c r="L52" s="171"/>
      <c r="M52" s="24"/>
    </row>
    <row r="53" spans="2:13" x14ac:dyDescent="0.25">
      <c r="B53" s="23"/>
      <c r="C53" s="86" t="s">
        <v>151</v>
      </c>
      <c r="D53" s="108" t="str" cm="1">
        <f t="array" ref="D53">IF(SUMPRODUCT(--(TRIM('SDQ Period 8'!K45:K48)&lt;&gt;""))=0, "", IF(COUNTIF('SDQ Period 8'!K45:K48, "Incomplete")&gt;0, "Incomplete", "Complete"))</f>
        <v/>
      </c>
      <c r="E53" s="95"/>
      <c r="F53" s="170"/>
      <c r="G53" s="170"/>
      <c r="H53" s="170"/>
      <c r="I53" s="170"/>
      <c r="J53" s="170"/>
      <c r="K53" s="170"/>
      <c r="L53" s="171"/>
      <c r="M53" s="24"/>
    </row>
    <row r="54" spans="2:13" ht="15.75" thickBot="1" x14ac:dyDescent="0.3">
      <c r="B54" s="23"/>
      <c r="C54" s="87" t="s">
        <v>152</v>
      </c>
      <c r="D54" s="109" t="str" cm="1">
        <f t="array" ref="D54">IF(SUMPRODUCT(--(TRIM('SDQ Period 9'!K45:K48)&lt;&gt;""))=0, "", IF(COUNTIF('SDQ Period 9'!K45:K48, "Incomplete")&gt;0, "Incomplete", "Complete"))</f>
        <v/>
      </c>
      <c r="E54" s="96"/>
      <c r="F54" s="172"/>
      <c r="G54" s="172"/>
      <c r="H54" s="172"/>
      <c r="I54" s="172"/>
      <c r="J54" s="172"/>
      <c r="K54" s="172"/>
      <c r="L54" s="173"/>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2025-11-01T20:28:20Z</dcterms:modified>
</cp:coreProperties>
</file>