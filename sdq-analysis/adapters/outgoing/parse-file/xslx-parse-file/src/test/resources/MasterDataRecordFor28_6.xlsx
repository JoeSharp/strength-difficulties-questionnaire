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fileSharing readOnlyRecommended="1"/>
  <workbookPr filterPrivacy="1"/>
  <xr:revisionPtr revIDLastSave="0" documentId="13_ncr:1_{5A21E5AE-B980-1E47-AE7F-0140D2531C17}" xr6:coauthVersionLast="47" xr6:coauthVersionMax="47" xr10:uidLastSave="{00000000-0000-0000-0000-000000000000}"/>
  <bookViews>
    <workbookView xWindow="0" yWindow="0" windowWidth="28800" windowHeight="18000" activeTab="3"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6" l="1" a="1"/>
  <c r="D54" i="6" s="1"/>
  <c r="D53" i="6" a="1"/>
  <c r="D53" i="6" s="1"/>
  <c r="D52" i="6" a="1"/>
  <c r="D52" i="6" s="1"/>
  <c r="D51" i="6" a="1"/>
  <c r="D51" i="6" s="1"/>
  <c r="D50" i="6" a="1"/>
  <c r="D50" i="6" s="1"/>
  <c r="D49" i="6" a="1"/>
  <c r="D49" i="6" s="1"/>
  <c r="D48" i="6" a="1"/>
  <c r="D48"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3" i="32"/>
  <c r="AD14" i="32"/>
  <c r="AL6" i="32"/>
  <c r="AK6" i="32"/>
  <c r="AJ6" i="32"/>
  <c r="AI6" i="32"/>
  <c r="AH6" i="32"/>
  <c r="AG6" i="32"/>
  <c r="AF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13" i="30"/>
  <c r="U14" i="30"/>
  <c r="N6" i="29"/>
  <c r="N7" i="29"/>
  <c r="N8" i="29"/>
  <c r="N9" i="29"/>
  <c r="N10" i="29"/>
  <c r="N11" i="29"/>
  <c r="N12" i="29"/>
  <c r="N13" i="29"/>
  <c r="N14" i="29"/>
  <c r="N15" i="29"/>
  <c r="M13" i="29"/>
  <c r="M14" i="29"/>
  <c r="L13" i="29"/>
  <c r="L14"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l="1"/>
  <c r="M20" i="23"/>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M15" i="29" l="1"/>
  <c r="AE15" i="32"/>
  <c r="AE6" i="32"/>
  <c r="M6" i="29"/>
  <c r="M7" i="29"/>
  <c r="AE7" i="32"/>
  <c r="AE8" i="32"/>
  <c r="M8" i="29"/>
  <c r="M9" i="29"/>
  <c r="AE9" i="32"/>
  <c r="D47" i="6" a="1"/>
  <c r="D47" i="6" s="1"/>
  <c r="U9" i="30"/>
  <c r="AD9" i="32"/>
  <c r="L9" i="29"/>
  <c r="AD6" i="32"/>
  <c r="L6" i="29"/>
  <c r="U6" i="30"/>
  <c r="AD15" i="32"/>
  <c r="L15" i="29"/>
  <c r="U15" i="30"/>
  <c r="L8" i="29"/>
  <c r="AD8" i="32"/>
  <c r="U8" i="30"/>
  <c r="U7" i="30"/>
  <c r="AD7" i="32"/>
  <c r="L7" i="29"/>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1" i="32" l="1"/>
  <c r="M11" i="29"/>
  <c r="AE12" i="32"/>
  <c r="M12" i="29"/>
  <c r="M10" i="29"/>
  <c r="AE10" i="32"/>
  <c r="AD10" i="32"/>
  <c r="L10" i="29"/>
  <c r="U10" i="30"/>
  <c r="U11" i="30"/>
  <c r="AD11" i="32"/>
  <c r="L11" i="29"/>
  <c r="U12" i="30"/>
  <c r="AD12" i="32"/>
  <c r="L12" i="29"/>
  <c r="D6" i="32"/>
  <c r="D7" i="32"/>
  <c r="D7" i="30"/>
  <c r="D6" i="29"/>
  <c r="H19" i="33" a="1"/>
  <c r="H19" i="33" s="1"/>
  <c r="E14" i="6" s="1"/>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<sst xmlns="http://schemas.openxmlformats.org/spreadsheetml/2006/main" count="3152" uniqueCount="226">
  <si>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</si>
  <si>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</si>
  <si>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</si>
  <si>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</si>
  <si>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</si>
  <si>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</si>
  <si>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</si>
  <si>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</si>
  <si>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</si>
  <si>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</si>
  <si>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</si>
  <si>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</si>
  <si>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</si>
  <si>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</si>
  <si>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</si>
  <si>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</si>
  <si>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</si>
  <si>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</si>
  <si>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</si>
  <si>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</si>
  <si>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</si>
  <si>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</si>
  <si>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</si>
  <si>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</si>
  <si>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</si>
  <si>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</si>
  <si>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</si>
  <si>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</si>
  <si>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</si>
  <si>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</si>
  <si>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</si>
  <si>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</si>
  <si>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</si>
  <si>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</si>
  <si>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</si>
  <si>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</si>
  <si>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</si>
  <si>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</si>
  <si>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</si>
  <si>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</si>
  <si>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</si>
  <si>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</si>
  <si>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</si>
  <si>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</si>
  <si>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</si>
  <si>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</si>
  <si>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</si>
  <si>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</si>
  <si>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</si>
  <si>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</si>
  <si>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</si>
  <si>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</si>
  <si>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</si>
  <si>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</si>
  <si>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</si>
  <si>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</si>
  <si>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</si>
  <si>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</si>
  <si>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</si>
  <si>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</si>
  <si>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</si>
  <si>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</si>
  <si>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</si>
  <si>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</si>
  <si>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</si>
  <si>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</si>
  <si>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</si>
  <si>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</si>
  <si>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</si>
  <si>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</si>
  <si>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</si>
  <si>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</si>
  <si>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</si>
  <si>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</si>
  <si>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</si>
  <si>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</si>
  <si>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</si>
  <si>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</si>
  <si>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</si>
  <si>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</si>
  <si>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</si>
  <si>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</si>
  <si>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</si>
  <si>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</si>
  <si>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</si>
  <si>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</si>
  <si>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</si>
  <si>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</si>
  <si>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</si>
  <si>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</si>
  <si>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</si>
  <si>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</si>
  <si>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</si>
  <si>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</si>
  <si>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</si>
  <si>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</si>
  <si>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</si>
  <si>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</si>
  <si>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</si>
  <si>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</si>
  <si>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</si>
  <si>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</si>
  <si>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</si>
  <si>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</si>
  <si>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</si>
  <si>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</si>
  <si>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</si>
  <si>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</si>
  <si>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</si>
  <si>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</si>
  <si>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</si>
  <si>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</si>
  <si>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</si>
  <si>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</si>
  <si>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</si>
  <si>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</si>
  <si>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</si>
  <si>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</si>
  <si>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</si>
  <si>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</si>
  <si>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</si>
  <si>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</si>
  <si>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</si>
  <si>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</si>
  <si>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</si>
  <si>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</si>
  <si>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</si>
  <si>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</si>
  <si>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</si>
  <si>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</si>
  <si>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</si>
  <si>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</si>
  <si>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</si>
  <si>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</si>
  <si>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</si>
  <si>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</si>
  <si>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</si>
  <si>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</si>
  <si>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</si>
  <si>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</si>
  <si>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</si>
  <si>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</si>
  <si>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</si>
  <si>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</si>
  <si>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</si>
  <si>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</si>
  <si>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</si>
  <si>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</si>
  <si>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</si>
  <si>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</si>
  <si>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</si>
  <si>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</si>
  <si>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</si>
  <si>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</si>
  <si>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</si>
  <si>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</si>
  <si>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</si>
  <si>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</si>
  <si>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</si>
  <si>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</si>
  <si>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</si>
  <si>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</si>
  <si>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</si>
  <si>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</si>
  <si>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</si>
  <si>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</si>
  <si>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</si>
  <si>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</si>
  <si>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</si>
  <si>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</si>
  <si>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</si>
  <si>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</si>
  <si>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</si>
  <si>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</si>
  <si>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</si>
  <si>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</si>
  <si>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</si>
  <si>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</si>
  <si>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</si>
  <si>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</si>
  <si>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</si>
  <si>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</si>
  <si>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</si>
  <si>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</si>
  <si>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</si>
  <si>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</si>
  <si>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</si>
  <si>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</si>
  <si>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</si>
  <si>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</si>
  <si>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</si>
  <si>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</si>
  <si>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</si>
  <si>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</si>
  <si>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</si>
  <si>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</si>
  <si>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</si>
  <si>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</si>
  <si>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</si>
  <si>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</si>
  <si>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</si>
  <si>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</si>
  <si>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</si>
  <si>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</si>
  <si>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</si>
  <si>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</si>
  <si>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</si>
  <si>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</si>
  <si>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</si>
  <si>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</si>
  <si>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</si>
  <si>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</si>
  <si>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</si>
  <si>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</si>
  <si>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</si>
  <si>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Male</t>
  </si>
  <si>
    <t>Gloucester City</t>
  </si>
  <si>
    <t>White British</t>
  </si>
  <si>
    <t>No</t>
  </si>
  <si>
    <t>Disability</t>
  </si>
  <si>
    <t>Sensory Impairment (e.g. hearing or visual)</t>
  </si>
  <si>
    <t>Yes - Adopted</t>
  </si>
  <si>
    <t>CPRT</t>
  </si>
  <si>
    <t>PTP</t>
  </si>
  <si>
    <t>IA</t>
  </si>
  <si>
    <t>ASGSF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</si>
</sst>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17" fontId="0" fillId="7" borderId="22" xfId="0" applyNumberFormat="1"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0" borderId="0" xfId="0" applyAlignment="1">
      <alignment horizontal="left" wrapText="1"/>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7</c:v>
                </c:pt>
                <c:pt idx="1">
                  <c:v>4</c:v>
                </c:pt>
                <c:pt idx="2" formatCode="General">
                  <c:v>2</c:v>
                </c:pt>
                <c:pt idx="3" formatCode="General">
                  <c:v>7</c:v>
                </c:pt>
                <c:pt idx="4" formatCode="General">
                  <c:v>20</c:v>
                </c:pt>
                <c:pt idx="5" formatCode="General">
                  <c:v>11</c:v>
                </c:pt>
                <c:pt idx="6" formatCode="General">
                  <c:v>9</c:v>
                </c:pt>
                <c:pt idx="9" formatCode="General">
                  <c:v>6</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8</c:v>
                </c:pt>
                <c:pt idx="1">
                  <c:v>3</c:v>
                </c:pt>
                <c:pt idx="2">
                  <c:v>3</c:v>
                </c:pt>
                <c:pt idx="3">
                  <c:v>7</c:v>
                </c:pt>
                <c:pt idx="4">
                  <c:v>21</c:v>
                </c:pt>
                <c:pt idx="5">
                  <c:v>11</c:v>
                </c:pt>
                <c:pt idx="6">
                  <c:v>10</c:v>
                </c:pt>
                <c:pt idx="9">
                  <c:v>6</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7</c:v>
                </c:pt>
                <c:pt idx="1">
                  <c:v>3</c:v>
                </c:pt>
                <c:pt idx="2" formatCode="General">
                  <c:v>6</c:v>
                </c:pt>
                <c:pt idx="3" formatCode="General">
                  <c:v>8</c:v>
                </c:pt>
                <c:pt idx="4" formatCode="General">
                  <c:v>24</c:v>
                </c:pt>
                <c:pt idx="5" formatCode="General">
                  <c:v>10</c:v>
                </c:pt>
                <c:pt idx="6" formatCode="General">
                  <c:v>14</c:v>
                </c:pt>
                <c:pt idx="9">
                  <c:v>6</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7</c:v>
                </c:pt>
                <c:pt idx="1">
                  <c:v>4</c:v>
                </c:pt>
                <c:pt idx="2">
                  <c:v>5</c:v>
                </c:pt>
                <c:pt idx="3">
                  <c:v>7</c:v>
                </c:pt>
                <c:pt idx="4">
                  <c:v>23</c:v>
                </c:pt>
                <c:pt idx="5" formatCode="General">
                  <c:v>11</c:v>
                </c:pt>
                <c:pt idx="6" formatCode="General">
                  <c:v>12</c:v>
                </c:pt>
                <c:pt idx="9">
                  <c:v>6</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8</c:v>
                </c:pt>
                <c:pt idx="1">
                  <c:v>3</c:v>
                </c:pt>
                <c:pt idx="2" formatCode="General">
                  <c:v>3</c:v>
                </c:pt>
                <c:pt idx="3" formatCode="General">
                  <c:v>7</c:v>
                </c:pt>
                <c:pt idx="4" formatCode="General">
                  <c:v>21</c:v>
                </c:pt>
                <c:pt idx="5" formatCode="General">
                  <c:v>11</c:v>
                </c:pt>
                <c:pt idx="6" formatCode="General">
                  <c:v>10</c:v>
                </c:pt>
                <c:pt idx="9" formatCode="General">
                  <c:v>6</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7</c:v>
                </c:pt>
                <c:pt idx="1">
                  <c:v>4</c:v>
                </c:pt>
                <c:pt idx="2">
                  <c:v>2</c:v>
                </c:pt>
                <c:pt idx="3">
                  <c:v>7</c:v>
                </c:pt>
                <c:pt idx="4">
                  <c:v>20</c:v>
                </c:pt>
                <c:pt idx="5">
                  <c:v>11</c:v>
                </c:pt>
                <c:pt idx="6">
                  <c:v>9</c:v>
                </c:pt>
                <c:pt idx="9">
                  <c:v>6</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7</c:v>
                </c:pt>
                <c:pt idx="1">
                  <c:v>3</c:v>
                </c:pt>
                <c:pt idx="2" formatCode="General">
                  <c:v>6</c:v>
                </c:pt>
                <c:pt idx="3" formatCode="General">
                  <c:v>8</c:v>
                </c:pt>
                <c:pt idx="4" formatCode="General">
                  <c:v>24</c:v>
                </c:pt>
                <c:pt idx="5" formatCode="General">
                  <c:v>10</c:v>
                </c:pt>
                <c:pt idx="6" formatCode="General">
                  <c:v>14</c:v>
                </c:pt>
                <c:pt idx="9">
                  <c:v>8</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7</c:v>
                </c:pt>
                <c:pt idx="1">
                  <c:v>3</c:v>
                </c:pt>
                <c:pt idx="2">
                  <c:v>6</c:v>
                </c:pt>
                <c:pt idx="3">
                  <c:v>8</c:v>
                </c:pt>
                <c:pt idx="4">
                  <c:v>24</c:v>
                </c:pt>
                <c:pt idx="5" formatCode="General">
                  <c:v>10</c:v>
                </c:pt>
                <c:pt idx="6" formatCode="General">
                  <c:v>14</c:v>
                </c:pt>
                <c:pt idx="9">
                  <c:v>6</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7</c:v>
                </c:pt>
                <c:pt idx="1">
                  <c:v>8</c:v>
                </c:pt>
                <c:pt idx="2">
                  <c:v>0</c:v>
                </c:pt>
                <c:pt idx="3" formatCode="General">
                  <c:v>8</c:v>
                </c:pt>
                <c:pt idx="4" formatCode="General">
                  <c:v>7</c:v>
                </c:pt>
                <c:pt idx="5" formatCode="General">
                  <c:v>0</c:v>
                </c:pt>
                <c:pt idx="6" formatCode="General">
                  <c:v>7</c:v>
                </c:pt>
                <c:pt idx="7" formatCode="General">
                  <c:v>7</c:v>
                </c:pt>
                <c:pt idx="8" formatCode="General">
                  <c:v>0</c:v>
                </c:pt>
                <c:pt idx="9">
                  <c:v>7</c:v>
                </c:pt>
                <c:pt idx="10">
                  <c:v>7</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0</c:v>
                </c:pt>
                <c:pt idx="3" formatCode="General">
                  <c:v>3</c:v>
                </c:pt>
                <c:pt idx="4" formatCode="General">
                  <c:v>4</c:v>
                </c:pt>
                <c:pt idx="5" formatCode="General">
                  <c:v>0</c:v>
                </c:pt>
                <c:pt idx="6" formatCode="General">
                  <c:v>3</c:v>
                </c:pt>
                <c:pt idx="7" formatCode="General">
                  <c:v>3</c:v>
                </c:pt>
                <c:pt idx="8" formatCode="General">
                  <c:v>0</c:v>
                </c:pt>
                <c:pt idx="9">
                  <c:v>4</c:v>
                </c:pt>
                <c:pt idx="10">
                  <c:v>3</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2</c:v>
                </c:pt>
                <c:pt idx="1">
                  <c:v>3</c:v>
                </c:pt>
                <c:pt idx="2">
                  <c:v>0</c:v>
                </c:pt>
                <c:pt idx="3" formatCode="General">
                  <c:v>3</c:v>
                </c:pt>
                <c:pt idx="4" formatCode="General">
                  <c:v>2</c:v>
                </c:pt>
                <c:pt idx="5" formatCode="General">
                  <c:v>0</c:v>
                </c:pt>
                <c:pt idx="6" formatCode="General">
                  <c:v>6</c:v>
                </c:pt>
                <c:pt idx="7" formatCode="General">
                  <c:v>6</c:v>
                </c:pt>
                <c:pt idx="8" formatCode="General">
                  <c:v>0</c:v>
                </c:pt>
                <c:pt idx="9">
                  <c:v>5</c:v>
                </c:pt>
                <c:pt idx="10">
                  <c:v>6</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7</c:v>
                </c:pt>
                <c:pt idx="1">
                  <c:v>7</c:v>
                </c:pt>
                <c:pt idx="2">
                  <c:v>0</c:v>
                </c:pt>
                <c:pt idx="3" formatCode="General">
                  <c:v>7</c:v>
                </c:pt>
                <c:pt idx="4" formatCode="General">
                  <c:v>7</c:v>
                </c:pt>
                <c:pt idx="5" formatCode="General">
                  <c:v>0</c:v>
                </c:pt>
                <c:pt idx="6" formatCode="General">
                  <c:v>8</c:v>
                </c:pt>
                <c:pt idx="7" formatCode="General">
                  <c:v>8</c:v>
                </c:pt>
                <c:pt idx="8" formatCode="General">
                  <c:v>0</c:v>
                </c:pt>
                <c:pt idx="9">
                  <c:v>7</c:v>
                </c:pt>
                <c:pt idx="10">
                  <c:v>8</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20</c:v>
                </c:pt>
                <c:pt idx="1">
                  <c:v>21</c:v>
                </c:pt>
                <c:pt idx="2">
                  <c:v>0</c:v>
                </c:pt>
                <c:pt idx="3" formatCode="General">
                  <c:v>21</c:v>
                </c:pt>
                <c:pt idx="4" formatCode="General">
                  <c:v>20</c:v>
                </c:pt>
                <c:pt idx="5" formatCode="General">
                  <c:v>0</c:v>
                </c:pt>
                <c:pt idx="6" formatCode="General">
                  <c:v>24</c:v>
                </c:pt>
                <c:pt idx="7" formatCode="General">
                  <c:v>24</c:v>
                </c:pt>
                <c:pt idx="8" formatCode="General">
                  <c:v>0</c:v>
                </c:pt>
                <c:pt idx="9">
                  <c:v>23</c:v>
                </c:pt>
                <c:pt idx="10">
                  <c:v>24</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11</c:v>
                </c:pt>
                <c:pt idx="1">
                  <c:v>11</c:v>
                </c:pt>
                <c:pt idx="2">
                  <c:v>0</c:v>
                </c:pt>
                <c:pt idx="3" formatCode="General">
                  <c:v>11</c:v>
                </c:pt>
                <c:pt idx="4" formatCode="General">
                  <c:v>11</c:v>
                </c:pt>
                <c:pt idx="5" formatCode="General">
                  <c:v>0</c:v>
                </c:pt>
                <c:pt idx="6" formatCode="General">
                  <c:v>10</c:v>
                </c:pt>
                <c:pt idx="7" formatCode="General">
                  <c:v>10</c:v>
                </c:pt>
                <c:pt idx="8" formatCode="General">
                  <c:v>0</c:v>
                </c:pt>
                <c:pt idx="9">
                  <c:v>11</c:v>
                </c:pt>
                <c:pt idx="10">
                  <c:v>10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9</c:v>
                </c:pt>
                <c:pt idx="1">
                  <c:v>10</c:v>
                </c:pt>
                <c:pt idx="2">
                  <c:v>0</c:v>
                </c:pt>
                <c:pt idx="3" formatCode="General">
                  <c:v>10</c:v>
                </c:pt>
                <c:pt idx="4" formatCode="General">
                  <c:v>9</c:v>
                </c:pt>
                <c:pt idx="5" formatCode="General">
                  <c:v>0</c:v>
                </c:pt>
                <c:pt idx="6" formatCode="General">
                  <c:v>14</c:v>
                </c:pt>
                <c:pt idx="7" formatCode="General">
                  <c:v>14</c:v>
                </c:pt>
                <c:pt idx="8" formatCode="General">
                  <c:v>0</c:v>
                </c:pt>
                <c:pt idx="9">
                  <c:v>12</c:v>
                </c:pt>
                <c:pt idx="10">
                  <c:v>14</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6</c:v>
                </c:pt>
                <c:pt idx="1">
                  <c:v>6</c:v>
                </c:pt>
                <c:pt idx="2">
                  <c:v>0</c:v>
                </c:pt>
                <c:pt idx="3" formatCode="General">
                  <c:v>6</c:v>
                </c:pt>
                <c:pt idx="4" formatCode="General">
                  <c:v>6</c:v>
                </c:pt>
                <c:pt idx="5" formatCode="General">
                  <c:v>0</c:v>
                </c:pt>
                <c:pt idx="6" formatCode="General">
                  <c:v>6</c:v>
                </c:pt>
                <c:pt idx="7" formatCode="General">
                  <c:v>8</c:v>
                </c:pt>
                <c:pt idx="8" formatCode="General">
                  <c:v>0</c:v>
                </c:pt>
                <c:pt idx="9">
                  <c:v>6</c:v>
                </c:pt>
                <c:pt idx="10">
                  <c:v>6</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7</c:v>
                </c:pt>
                <c:pt idx="1">
                  <c:v>8</c:v>
                </c:pt>
                <c:pt idx="2">
                  <c:v>0</c:v>
                </c:pt>
                <c:pt idx="3">
                  <c:v>0</c:v>
                </c:pt>
                <c:pt idx="4">
                  <c:v>0</c:v>
                </c:pt>
                <c:pt idx="5">
                  <c:v>0</c:v>
                </c:pt>
                <c:pt idx="6" formatCode="General">
                  <c:v>8</c:v>
                </c:pt>
                <c:pt idx="7" formatCode="General">
                  <c:v>7</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7</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0</c:v>
                </c:pt>
                <c:pt idx="3">
                  <c:v>0</c:v>
                </c:pt>
                <c:pt idx="4">
                  <c:v>0</c:v>
                </c:pt>
                <c:pt idx="5">
                  <c:v>0</c:v>
                </c:pt>
                <c:pt idx="6" formatCode="General">
                  <c:v>3</c:v>
                </c:pt>
                <c:pt idx="7" formatCode="General">
                  <c:v>4</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4</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2</c:v>
                </c:pt>
                <c:pt idx="1">
                  <c:v>3</c:v>
                </c:pt>
                <c:pt idx="2">
                  <c:v>0</c:v>
                </c:pt>
                <c:pt idx="3">
                  <c:v>0</c:v>
                </c:pt>
                <c:pt idx="4">
                  <c:v>0</c:v>
                </c:pt>
                <c:pt idx="5">
                  <c:v>0</c:v>
                </c:pt>
                <c:pt idx="6" formatCode="General">
                  <c:v>3</c:v>
                </c:pt>
                <c:pt idx="7" formatCode="General">
                  <c:v>2</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5</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7</c:v>
                </c:pt>
                <c:pt idx="1">
                  <c:v>7</c:v>
                </c:pt>
                <c:pt idx="2">
                  <c:v>0</c:v>
                </c:pt>
                <c:pt idx="3">
                  <c:v>0</c:v>
                </c:pt>
                <c:pt idx="4">
                  <c:v>0</c:v>
                </c:pt>
                <c:pt idx="5">
                  <c:v>0</c:v>
                </c:pt>
                <c:pt idx="6" formatCode="General">
                  <c:v>7</c:v>
                </c:pt>
                <c:pt idx="7" formatCode="General">
                  <c:v>7</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7</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20</c:v>
                </c:pt>
                <c:pt idx="1">
                  <c:v>21</c:v>
                </c:pt>
                <c:pt idx="2">
                  <c:v>0</c:v>
                </c:pt>
                <c:pt idx="3">
                  <c:v>0</c:v>
                </c:pt>
                <c:pt idx="4">
                  <c:v>0</c:v>
                </c:pt>
                <c:pt idx="5">
                  <c:v>0</c:v>
                </c:pt>
                <c:pt idx="6" formatCode="General">
                  <c:v>21</c:v>
                </c:pt>
                <c:pt idx="7" formatCode="General">
                  <c:v>20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23</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11</c:v>
                </c:pt>
                <c:pt idx="1">
                  <c:v>11</c:v>
                </c:pt>
                <c:pt idx="2">
                  <c:v>0</c:v>
                </c:pt>
                <c:pt idx="3">
                  <c:v>0</c:v>
                </c:pt>
                <c:pt idx="4">
                  <c:v>0</c:v>
                </c:pt>
                <c:pt idx="5">
                  <c:v>0</c:v>
                </c:pt>
                <c:pt idx="6" formatCode="General">
                  <c:v>11</c:v>
                </c:pt>
                <c:pt idx="7" formatCode="General">
                  <c:v>11</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11</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9</c:v>
                </c:pt>
                <c:pt idx="1">
                  <c:v>10</c:v>
                </c:pt>
                <c:pt idx="2">
                  <c:v>0</c:v>
                </c:pt>
                <c:pt idx="3">
                  <c:v>0</c:v>
                </c:pt>
                <c:pt idx="4">
                  <c:v>0</c:v>
                </c:pt>
                <c:pt idx="5">
                  <c:v>0</c:v>
                </c:pt>
                <c:pt idx="6" formatCode="General">
                  <c:v>10</c:v>
                </c:pt>
                <c:pt idx="7" formatCode="General">
                  <c:v>9</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12</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6</c:v>
                </c:pt>
                <c:pt idx="1">
                  <c:v>6</c:v>
                </c:pt>
                <c:pt idx="2">
                  <c:v>0</c:v>
                </c:pt>
                <c:pt idx="3">
                  <c:v>0</c:v>
                </c:pt>
                <c:pt idx="4">
                  <c:v>0</c:v>
                </c:pt>
                <c:pt idx="5">
                  <c:v>0</c:v>
                </c:pt>
                <c:pt idx="6" formatCode="General">
                  <c:v>6</c:v>
                </c:pt>
                <c:pt idx="7" formatCode="General">
                  <c:v>6</c:v>
                </c:pt>
                <c:pt idx="8" formatCode="General">
                  <c:v>0</c:v>
                </c:pt>
                <c:pt idx="9" formatCode="General">
                  <c:v>0</c:v>
                </c:pt>
                <c:pt idx="10" formatCode="General">
                  <c:v>0</c:v>
                </c:pt>
                <c:pt idx="11" formatCode="General">
                  <c:v>0</c:v>
                </c:pt>
                <c:pt idx="12" formatCode="General">
                  <c:v>0</c:v>
                </c:pt>
                <c:pt idx="13" formatCode="General">
                  <c:v>2</c:v>
                </c:pt>
                <c:pt idx="14" formatCode="General">
                  <c:v>0</c:v>
                </c:pt>
                <c:pt idx="15" formatCode="General">
                  <c:v>0</c:v>
                </c:pt>
                <c:pt idx="16" formatCode="General">
                  <c:v>0</c:v>
                </c:pt>
                <c:pt idx="17" formatCode="General">
                  <c:v>0</c:v>
                </c:pt>
                <c:pt idx="18">
                  <c:v>6</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7</c:v>
                </c:pt>
                <c:pt idx="1">
                  <c:v>8</c:v>
                </c:pt>
                <c:pt idx="2">
                  <c:v>0</c:v>
                </c:pt>
                <c:pt idx="3">
                  <c:v>0</c:v>
                </c:pt>
                <c:pt idx="4">
                  <c:v>0</c:v>
                </c:pt>
                <c:pt idx="5">
                  <c:v>0</c:v>
                </c:pt>
                <c:pt idx="6" formatCode="General">
                  <c:v>0</c:v>
                </c:pt>
                <c:pt idx="7" formatCode="General">
                  <c:v>0</c:v>
                </c:pt>
                <c:pt idx="8" formatCode="General">
                  <c:v>0</c:v>
                </c:pt>
                <c:pt idx="9" formatCode="General">
                  <c:v>8</c:v>
                </c:pt>
                <c:pt idx="10" formatCode="General">
                  <c:v>7</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7</c:v>
                </c:pt>
                <c:pt idx="19" formatCode="General">
                  <c:v>7</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7</c:v>
                </c:pt>
                <c:pt idx="28">
                  <c:v>7</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0</c:v>
                </c:pt>
                <c:pt idx="3">
                  <c:v>0</c:v>
                </c:pt>
                <c:pt idx="4">
                  <c:v>0</c:v>
                </c:pt>
                <c:pt idx="5">
                  <c:v>0</c:v>
                </c:pt>
                <c:pt idx="6" formatCode="General">
                  <c:v>0</c:v>
                </c:pt>
                <c:pt idx="7" formatCode="General">
                  <c:v>0</c:v>
                </c:pt>
                <c:pt idx="8" formatCode="General">
                  <c:v>0</c:v>
                </c:pt>
                <c:pt idx="9" formatCode="General">
                  <c:v>3</c:v>
                </c:pt>
                <c:pt idx="10" formatCode="General">
                  <c:v>4</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4</c:v>
                </c:pt>
                <c:pt idx="28">
                  <c:v>3</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2</c:v>
                </c:pt>
                <c:pt idx="1">
                  <c:v>3</c:v>
                </c:pt>
                <c:pt idx="2">
                  <c:v>0</c:v>
                </c:pt>
                <c:pt idx="3">
                  <c:v>0</c:v>
                </c:pt>
                <c:pt idx="4">
                  <c:v>0</c:v>
                </c:pt>
                <c:pt idx="5">
                  <c:v>0</c:v>
                </c:pt>
                <c:pt idx="6" formatCode="General">
                  <c:v>0</c:v>
                </c:pt>
                <c:pt idx="7" formatCode="General">
                  <c:v>0</c:v>
                </c:pt>
                <c:pt idx="8" formatCode="General">
                  <c:v>0</c:v>
                </c:pt>
                <c:pt idx="9" formatCode="General">
                  <c:v>3</c:v>
                </c:pt>
                <c:pt idx="10" formatCode="General">
                  <c:v>2</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5</c:v>
                </c:pt>
                <c:pt idx="28">
                  <c:v>6</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7</c:v>
                </c:pt>
                <c:pt idx="1">
                  <c:v>7</c:v>
                </c:pt>
                <c:pt idx="2">
                  <c:v>0</c:v>
                </c:pt>
                <c:pt idx="3">
                  <c:v>0</c:v>
                </c:pt>
                <c:pt idx="4">
                  <c:v>0</c:v>
                </c:pt>
                <c:pt idx="5">
                  <c:v>0</c:v>
                </c:pt>
                <c:pt idx="6" formatCode="General">
                  <c:v>0</c:v>
                </c:pt>
                <c:pt idx="7" formatCode="General">
                  <c:v>0</c:v>
                </c:pt>
                <c:pt idx="8" formatCode="General">
                  <c:v>0</c:v>
                </c:pt>
                <c:pt idx="9" formatCode="General">
                  <c:v>7</c:v>
                </c:pt>
                <c:pt idx="10" formatCode="General">
                  <c:v>7</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8</c:v>
                </c:pt>
                <c:pt idx="19" formatCode="General">
                  <c:v>8</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7</c:v>
                </c:pt>
                <c:pt idx="28">
                  <c:v>8</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20</c:v>
                </c:pt>
                <c:pt idx="1">
                  <c:v>21</c:v>
                </c:pt>
                <c:pt idx="2">
                  <c:v>0</c:v>
                </c:pt>
                <c:pt idx="3">
                  <c:v>0</c:v>
                </c:pt>
                <c:pt idx="4">
                  <c:v>0</c:v>
                </c:pt>
                <c:pt idx="5">
                  <c:v>0</c:v>
                </c:pt>
                <c:pt idx="6" formatCode="General">
                  <c:v>0</c:v>
                </c:pt>
                <c:pt idx="7" formatCode="General">
                  <c:v>0</c:v>
                </c:pt>
                <c:pt idx="8" formatCode="General">
                  <c:v>0</c:v>
                </c:pt>
                <c:pt idx="9" formatCode="General">
                  <c:v>21</c:v>
                </c:pt>
                <c:pt idx="10" formatCode="General">
                  <c:v>20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24</c:v>
                </c:pt>
                <c:pt idx="19" formatCode="General">
                  <c:v>24</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23</c:v>
                </c:pt>
                <c:pt idx="28">
                  <c:v>24</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11</c:v>
                </c:pt>
                <c:pt idx="1">
                  <c:v>11</c:v>
                </c:pt>
                <c:pt idx="2">
                  <c:v>0</c:v>
                </c:pt>
                <c:pt idx="3">
                  <c:v>0</c:v>
                </c:pt>
                <c:pt idx="4">
                  <c:v>0</c:v>
                </c:pt>
                <c:pt idx="5">
                  <c:v>0</c:v>
                </c:pt>
                <c:pt idx="6" formatCode="General">
                  <c:v>0</c:v>
                </c:pt>
                <c:pt idx="7" formatCode="General">
                  <c:v>0</c:v>
                </c:pt>
                <c:pt idx="8" formatCode="General">
                  <c:v>0</c:v>
                </c:pt>
                <c:pt idx="9" formatCode="General">
                  <c:v>11</c:v>
                </c:pt>
                <c:pt idx="10" formatCode="General">
                  <c:v>11</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10</c:v>
                </c:pt>
                <c:pt idx="19" formatCode="General">
                  <c:v>10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11</c:v>
                </c:pt>
                <c:pt idx="28">
                  <c:v>10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9</c:v>
                </c:pt>
                <c:pt idx="1">
                  <c:v>10</c:v>
                </c:pt>
                <c:pt idx="2">
                  <c:v>0</c:v>
                </c:pt>
                <c:pt idx="3">
                  <c:v>0</c:v>
                </c:pt>
                <c:pt idx="4">
                  <c:v>0</c:v>
                </c:pt>
                <c:pt idx="5">
                  <c:v>0</c:v>
                </c:pt>
                <c:pt idx="6" formatCode="General">
                  <c:v>0</c:v>
                </c:pt>
                <c:pt idx="7" formatCode="General">
                  <c:v>0</c:v>
                </c:pt>
                <c:pt idx="8" formatCode="General">
                  <c:v>0</c:v>
                </c:pt>
                <c:pt idx="9" formatCode="General">
                  <c:v>10</c:v>
                </c:pt>
                <c:pt idx="10" formatCode="General">
                  <c:v>9</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14</c:v>
                </c:pt>
                <c:pt idx="19" formatCode="General">
                  <c:v>14</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12</c:v>
                </c:pt>
                <c:pt idx="28">
                  <c:v>14</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6</c:v>
                </c:pt>
                <c:pt idx="1">
                  <c:v>6</c:v>
                </c:pt>
                <c:pt idx="2">
                  <c:v>0</c:v>
                </c:pt>
                <c:pt idx="3">
                  <c:v>0</c:v>
                </c:pt>
                <c:pt idx="4">
                  <c:v>0</c:v>
                </c:pt>
                <c:pt idx="5">
                  <c:v>0</c:v>
                </c:pt>
                <c:pt idx="6" formatCode="General">
                  <c:v>0</c:v>
                </c:pt>
                <c:pt idx="7" formatCode="General">
                  <c:v>0</c:v>
                </c:pt>
                <c:pt idx="8" formatCode="General">
                  <c:v>0</c:v>
                </c:pt>
                <c:pt idx="9" formatCode="General">
                  <c:v>6</c:v>
                </c:pt>
                <c:pt idx="10" formatCode="General">
                  <c:v>6</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8</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6</c:v>
                </c:pt>
                <c:pt idx="28">
                  <c:v>6</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baseColWidth="10" defaultColWidth="8.83203125" defaultRowHeight="15" x14ac:dyDescent="0.2"/>
  <cols>
    <col min="5" max="5" width="18.6640625" customWidth="1"/>
    <col min="6" max="6" width="21.33203125" customWidth="1"/>
    <col min="17" max="17" width="14" customWidth="1"/>
  </cols>
  <sheetData>
    <row r="1" spans="2:17" ht="16" thickBot="1" x14ac:dyDescent="0.25"/>
    <row r="2" spans="2:17" x14ac:dyDescent="0.2">
      <c r="B2" s="10"/>
      <c r="C2" s="11" t="s">
        <v>98</v>
      </c>
      <c r="D2" s="12"/>
      <c r="E2" s="12"/>
      <c r="F2" s="12"/>
      <c r="G2" s="12"/>
      <c r="H2" s="12"/>
      <c r="I2" s="12"/>
      <c r="J2" s="12"/>
      <c r="K2" s="12"/>
      <c r="L2" s="12"/>
      <c r="M2" s="12"/>
      <c r="N2" s="12"/>
      <c r="O2" s="12"/>
      <c r="P2" s="12"/>
      <c r="Q2" s="13"/>
    </row>
    <row r="3" spans="2:17" ht="7.5" customHeight="1" x14ac:dyDescent="0.2">
      <c r="B3" s="4"/>
      <c r="Q3" s="5"/>
    </row>
    <row r="4" spans="2:17" x14ac:dyDescent="0.2">
      <c r="B4" s="4"/>
      <c r="C4">
        <v>1</v>
      </c>
      <c r="D4" t="s">
        <v>187</v>
      </c>
      <c r="Q4" s="5"/>
    </row>
    <row r="5" spans="2:17" x14ac:dyDescent="0.2">
      <c r="B5" s="4"/>
      <c r="C5">
        <v>2</v>
      </c>
      <c r="D5" t="s">
        <v>130</v>
      </c>
      <c r="Q5" s="5"/>
    </row>
    <row r="6" spans="2:17" x14ac:dyDescent="0.2">
      <c r="B6" s="4"/>
      <c r="C6">
        <v>3</v>
      </c>
      <c r="D6" t="s">
        <v>94</v>
      </c>
      <c r="Q6" s="5"/>
    </row>
    <row r="7" spans="2:17" x14ac:dyDescent="0.2">
      <c r="B7" s="4"/>
      <c r="E7" t="s">
        <v>95</v>
      </c>
      <c r="Q7" s="5"/>
    </row>
    <row r="8" spans="2:17" x14ac:dyDescent="0.2">
      <c r="B8" s="4"/>
      <c r="F8" t="s">
        <v>89</v>
      </c>
      <c r="G8" t="s">
        <v>99</v>
      </c>
      <c r="Q8" s="5"/>
    </row>
    <row r="9" spans="2:17" x14ac:dyDescent="0.2">
      <c r="B9" s="4"/>
      <c r="F9" t="s">
        <v>112</v>
      </c>
      <c r="G9" t="s">
        <v>132</v>
      </c>
      <c r="Q9" s="5"/>
    </row>
    <row r="10" spans="2:17" x14ac:dyDescent="0.2">
      <c r="B10" s="4"/>
      <c r="F10" t="s">
        <v>111</v>
      </c>
      <c r="G10" t="s">
        <v>113</v>
      </c>
      <c r="Q10" s="5"/>
    </row>
    <row r="11" spans="2:17" x14ac:dyDescent="0.2">
      <c r="B11" s="4"/>
      <c r="C11">
        <v>4</v>
      </c>
      <c r="D11" t="s">
        <v>172</v>
      </c>
      <c r="Q11" s="5"/>
    </row>
    <row r="12" spans="2:17" x14ac:dyDescent="0.2">
      <c r="B12" s="4"/>
      <c r="F12" t="s">
        <v>176</v>
      </c>
      <c r="Q12" s="5"/>
    </row>
    <row r="13" spans="2:17" x14ac:dyDescent="0.2">
      <c r="B13" s="4"/>
      <c r="F13" t="s">
        <v>175</v>
      </c>
      <c r="Q13" s="5"/>
    </row>
    <row r="14" spans="2:17" x14ac:dyDescent="0.2">
      <c r="B14" s="4"/>
      <c r="Q14" s="5"/>
    </row>
    <row r="15" spans="2:17" x14ac:dyDescent="0.2">
      <c r="B15" s="4"/>
      <c r="C15">
        <v>5</v>
      </c>
      <c r="D15" t="s">
        <v>173</v>
      </c>
      <c r="F15" s="157" t="s">
        <v>157</v>
      </c>
      <c r="G15" s="157"/>
      <c r="H15" s="157"/>
      <c r="I15" s="157"/>
      <c r="J15" s="157"/>
      <c r="K15" s="157"/>
      <c r="L15" s="157"/>
      <c r="M15" s="157"/>
      <c r="N15" s="157"/>
      <c r="O15" s="157"/>
      <c r="P15" s="157"/>
      <c r="Q15" s="5"/>
    </row>
    <row r="16" spans="2:17" ht="15" customHeight="1" x14ac:dyDescent="0.2">
      <c r="B16" s="4"/>
      <c r="F16" s="18" t="s">
        <v>158</v>
      </c>
      <c r="G16" s="18"/>
      <c r="H16" s="18"/>
      <c r="I16" s="18"/>
      <c r="J16" s="18"/>
      <c r="K16" s="18"/>
      <c r="L16" s="18"/>
      <c r="M16" s="18"/>
      <c r="N16" s="18"/>
      <c r="O16" s="18"/>
      <c r="P16" s="18"/>
      <c r="Q16" s="5"/>
    </row>
    <row r="17" spans="2:17" ht="15" customHeight="1" x14ac:dyDescent="0.2">
      <c r="B17" s="4"/>
      <c r="F17" t="s">
        <v>131</v>
      </c>
      <c r="Q17" s="5"/>
    </row>
    <row r="18" spans="2:17" ht="8.25" customHeight="1" x14ac:dyDescent="0.2">
      <c r="B18" s="4"/>
      <c r="Q18" s="5"/>
    </row>
    <row r="19" spans="2:17" x14ac:dyDescent="0.2">
      <c r="B19" s="4"/>
      <c r="C19" s="1" t="s">
        <v>100</v>
      </c>
      <c r="Q19" s="5"/>
    </row>
    <row r="20" spans="2:17" ht="16" thickBot="1" x14ac:dyDescent="0.25">
      <c r="B20" s="4"/>
      <c r="Q20" s="5"/>
    </row>
    <row r="21" spans="2:17" ht="16" thickBot="1" x14ac:dyDescent="0.25">
      <c r="B21" s="4"/>
      <c r="E21" s="16"/>
      <c r="F21" t="s">
        <v>96</v>
      </c>
      <c r="Q21" s="5"/>
    </row>
    <row r="22" spans="2:17" ht="16" thickBot="1" x14ac:dyDescent="0.25">
      <c r="B22" s="4"/>
      <c r="Q22" s="5"/>
    </row>
    <row r="23" spans="2:17" ht="16" thickBot="1" x14ac:dyDescent="0.25">
      <c r="B23" s="4"/>
      <c r="E23" s="15"/>
      <c r="F23" t="s">
        <v>97</v>
      </c>
      <c r="Q23" s="5"/>
    </row>
    <row r="24" spans="2:17" ht="16" thickBot="1" x14ac:dyDescent="0.25">
      <c r="B24" s="4"/>
      <c r="Q24" s="5"/>
    </row>
    <row r="25" spans="2:17" ht="16" thickBot="1" x14ac:dyDescent="0.25">
      <c r="B25" s="4"/>
      <c r="E25" s="85"/>
      <c r="F25" t="s">
        <v>138</v>
      </c>
      <c r="Q25" s="5"/>
    </row>
    <row r="26" spans="2:17" ht="16" thickBot="1" x14ac:dyDescent="0.25">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baseColWidth="10" defaultColWidth="8.83203125" defaultRowHeight="15" x14ac:dyDescent="0.2"/>
  <cols>
    <col min="6" max="6" width="68.6640625" customWidth="1"/>
  </cols>
  <sheetData>
    <row r="3" spans="2:11" ht="16" thickBot="1" x14ac:dyDescent="0.25"/>
    <row r="4" spans="2:11" x14ac:dyDescent="0.2">
      <c r="B4" s="10"/>
      <c r="C4" s="12"/>
      <c r="D4" s="12"/>
      <c r="E4" s="12"/>
      <c r="F4" s="12"/>
      <c r="G4" s="12"/>
      <c r="H4" s="12"/>
      <c r="I4" s="12"/>
      <c r="J4" s="12"/>
      <c r="K4" s="13"/>
    </row>
    <row r="5" spans="2:11" x14ac:dyDescent="0.2">
      <c r="B5" s="4"/>
      <c r="C5" s="1" t="s">
        <v>100</v>
      </c>
      <c r="K5" s="5"/>
    </row>
    <row r="6" spans="2:11" ht="16" thickBot="1" x14ac:dyDescent="0.25">
      <c r="B6" s="4"/>
      <c r="K6" s="5"/>
    </row>
    <row r="7" spans="2:11" ht="16" thickBot="1" x14ac:dyDescent="0.25">
      <c r="B7" s="4"/>
      <c r="E7" s="16"/>
      <c r="F7" t="s">
        <v>96</v>
      </c>
      <c r="K7" s="5"/>
    </row>
    <row r="8" spans="2:11" ht="16" thickBot="1" x14ac:dyDescent="0.25">
      <c r="B8" s="4"/>
      <c r="K8" s="5"/>
    </row>
    <row r="9" spans="2:11" ht="16" thickBot="1" x14ac:dyDescent="0.25">
      <c r="B9" s="4"/>
      <c r="E9" s="15"/>
      <c r="F9" t="s">
        <v>116</v>
      </c>
      <c r="K9" s="5"/>
    </row>
    <row r="10" spans="2:11" ht="16" thickBot="1" x14ac:dyDescent="0.25">
      <c r="B10" s="4"/>
      <c r="K10" s="5"/>
    </row>
    <row r="11" spans="2:11" ht="16" thickBot="1" x14ac:dyDescent="0.25">
      <c r="B11" s="4"/>
      <c r="E11" s="85"/>
      <c r="F11" t="s">
        <v>138</v>
      </c>
      <c r="K11" s="5"/>
    </row>
    <row r="12" spans="2:11" x14ac:dyDescent="0.2">
      <c r="B12" s="4"/>
      <c r="K12" s="5"/>
    </row>
    <row r="13" spans="2:11" x14ac:dyDescent="0.2">
      <c r="B13" s="4"/>
      <c r="C13" s="1" t="s">
        <v>103</v>
      </c>
      <c r="K13" s="5"/>
    </row>
    <row r="14" spans="2:11" x14ac:dyDescent="0.2">
      <c r="B14" s="4"/>
      <c r="E14" t="s">
        <v>117</v>
      </c>
      <c r="K14" s="5"/>
    </row>
    <row r="15" spans="2:11" x14ac:dyDescent="0.2">
      <c r="B15" s="4"/>
      <c r="E15" t="s">
        <v>124</v>
      </c>
      <c r="K15" s="5"/>
    </row>
    <row r="16" spans="2:11" x14ac:dyDescent="0.2">
      <c r="B16" s="4"/>
      <c r="E16" t="s">
        <v>125</v>
      </c>
      <c r="K16" s="5"/>
    </row>
    <row r="17" spans="2:11" ht="16" thickBot="1" x14ac:dyDescent="0.25">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workbookViewId="0">
      <selection activeCell="D2" sqref="D2"/>
    </sheetView>
  </sheetViews>
  <sheetFormatPr baseColWidth="10" defaultColWidth="8.83203125" defaultRowHeight="15" x14ac:dyDescent="0.2"/>
  <cols>
    <col min="1" max="1" width="12.1640625" bestFit="1" customWidth="1"/>
    <col min="2" max="3" width="12.1640625" customWidth="1"/>
    <col min="5" max="5" width="31.33203125" bestFit="1" customWidth="1"/>
    <col min="6" max="6" width="15.33203125" bestFit="1" customWidth="1"/>
    <col min="7" max="7" width="14.1640625" bestFit="1" customWidth="1"/>
    <col min="8" max="8" width="15.5" bestFit="1" customWidth="1"/>
    <col min="9" max="9" width="17" bestFit="1" customWidth="1"/>
    <col min="10" max="12" width="27.1640625" bestFit="1" customWidth="1"/>
    <col min="13" max="13" width="12.1640625" customWidth="1"/>
    <col min="14" max="14" width="14.5" bestFit="1" customWidth="1"/>
  </cols>
  <sheetData>
    <row r="1" spans="1:14" s="2" customFormat="1" ht="16" thickBot="1" x14ac:dyDescent="0.25">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6" thickBot="1" x14ac:dyDescent="0.25">
      <c r="A2" s="58">
        <v>30529</v>
      </c>
      <c r="B2" s="55" t="s">
        <v>215</v>
      </c>
      <c r="C2" s="55" t="s">
        <v>216</v>
      </c>
      <c r="D2" s="56" t="s">
        <v>217</v>
      </c>
      <c r="E2" s="55" t="s">
        <v>218</v>
      </c>
      <c r="F2" s="55" t="s">
        <v>219</v>
      </c>
      <c r="G2" s="55" t="s">
        <v>220</v>
      </c>
      <c r="H2" s="55" t="s">
        <v>221</v>
      </c>
      <c r="I2" s="55" t="s">
        <v>222</v>
      </c>
      <c r="J2" s="55" t="s">
        <v>223</v>
      </c>
      <c r="K2" s="55" t="s">
        <v>224</v>
      </c>
      <c r="L2" s="55" t="s">
        <v>222</v>
      </c>
      <c r="M2" s="55">
        <v>3</v>
      </c>
      <c r="N2" s="57" t="s">
        <v>225</v>
      </c>
    </row>
    <row r="3" spans="1:14" x14ac:dyDescent="0.2">
      <c r="D3" s="3"/>
      <c r="E3" s="3"/>
      <c r="F3" s="3"/>
      <c r="G3" s="3"/>
    </row>
    <row r="4" spans="1:14" x14ac:dyDescent="0.2">
      <c r="D4" s="1"/>
      <c r="E4" s="1"/>
      <c r="F4" s="1"/>
      <c r="G4" s="1"/>
      <c r="H4" s="1"/>
      <c r="I4" s="1"/>
      <c r="J4" s="1"/>
      <c r="K4" s="1"/>
      <c r="L4" s="1"/>
    </row>
    <row r="5" spans="1:14" x14ac:dyDescent="0.2">
      <c r="D5" s="3"/>
      <c r="E5" s="3"/>
      <c r="F5" s="3"/>
      <c r="G5" s="3"/>
    </row>
    <row r="6" spans="1:14" ht="16" x14ac:dyDescent="0.2">
      <c r="D6" s="3"/>
      <c r="E6" s="3"/>
      <c r="F6" s="3"/>
      <c r="G6" s="17"/>
      <c r="H6" s="1"/>
      <c r="I6" s="1"/>
      <c r="J6" s="1"/>
      <c r="K6" s="1"/>
      <c r="L6" s="1"/>
    </row>
    <row r="7" spans="1:14" x14ac:dyDescent="0.2">
      <c r="D7" s="3"/>
      <c r="E7" s="3"/>
      <c r="F7" s="3"/>
      <c r="G7" s="3"/>
    </row>
    <row r="8" spans="1:14" x14ac:dyDescent="0.2">
      <c r="D8" s="3"/>
      <c r="E8" s="3"/>
      <c r="F8" s="3"/>
      <c r="G8" s="3"/>
      <c r="H8" s="1"/>
      <c r="I8" s="1"/>
      <c r="J8" s="1"/>
      <c r="K8" s="1"/>
      <c r="L8" s="1"/>
    </row>
    <row r="9" spans="1:14" x14ac:dyDescent="0.2">
      <c r="D9" s="3"/>
      <c r="E9" s="3"/>
      <c r="F9" s="3"/>
      <c r="G9" s="3"/>
    </row>
    <row r="10" spans="1:14" x14ac:dyDescent="0.2">
      <c r="D10" s="3"/>
      <c r="E10" s="3"/>
      <c r="F10" s="3"/>
      <c r="G10" s="3"/>
      <c r="H10" s="1"/>
      <c r="I10" s="1"/>
      <c r="J10" s="1"/>
      <c r="K10" s="1"/>
      <c r="L10" s="1"/>
    </row>
    <row r="11" spans="1:14" x14ac:dyDescent="0.2">
      <c r="D11" s="3"/>
      <c r="E11" s="3"/>
      <c r="F11" s="3"/>
      <c r="G11" s="3"/>
    </row>
    <row r="12" spans="1:14" x14ac:dyDescent="0.2">
      <c r="D12" s="3"/>
      <c r="E12" s="3"/>
      <c r="F12" s="3"/>
      <c r="G12" s="3"/>
      <c r="H12" s="1"/>
      <c r="I12" s="1"/>
      <c r="J12" s="1"/>
      <c r="K12" s="1"/>
      <c r="L12" s="1"/>
    </row>
    <row r="13" spans="1:14" x14ac:dyDescent="0.2">
      <c r="D13" s="3"/>
      <c r="E13" s="3"/>
      <c r="F13" s="3"/>
      <c r="G13" s="3"/>
    </row>
    <row r="14" spans="1:14" x14ac:dyDescent="0.2">
      <c r="D14" s="3"/>
      <c r="E14" s="3"/>
      <c r="F14" s="3"/>
      <c r="G14" s="3"/>
      <c r="H14" s="1"/>
      <c r="I14" s="1"/>
      <c r="J14" s="1"/>
      <c r="K14" s="1"/>
      <c r="L14" s="1"/>
    </row>
    <row r="15" spans="1:14" x14ac:dyDescent="0.2">
      <c r="D15" s="3"/>
      <c r="E15" s="3"/>
      <c r="F15" s="3"/>
      <c r="G15" s="3"/>
    </row>
    <row r="16" spans="1:14" x14ac:dyDescent="0.2">
      <c r="D16" s="3"/>
      <c r="E16" s="3"/>
      <c r="F16" s="3"/>
      <c r="G16" s="3"/>
    </row>
    <row r="17" spans="4:7" x14ac:dyDescent="0.2">
      <c r="D17" s="3"/>
      <c r="E17" s="3"/>
      <c r="F17" s="3"/>
      <c r="G17" s="3"/>
    </row>
    <row r="18" spans="4:7" x14ac:dyDescent="0.2">
      <c r="D18" s="3"/>
      <c r="E18" s="3"/>
      <c r="F18" s="3"/>
      <c r="G18" s="3"/>
    </row>
    <row r="19" spans="4:7" x14ac:dyDescent="0.2">
      <c r="D19" s="3"/>
      <c r="E19" s="3"/>
      <c r="F19" s="3"/>
      <c r="G19" s="3"/>
    </row>
    <row r="20" spans="4:7" x14ac:dyDescent="0.2">
      <c r="D20" s="3"/>
      <c r="E20" s="3"/>
      <c r="F20" s="3"/>
      <c r="G20" s="3"/>
    </row>
    <row r="21" spans="4:7" x14ac:dyDescent="0.2">
      <c r="D21" s="3"/>
      <c r="E21" s="3"/>
      <c r="F21" s="3"/>
      <c r="G21" s="3"/>
    </row>
    <row r="22" spans="4:7" x14ac:dyDescent="0.2">
      <c r="D22" s="3"/>
      <c r="E22" s="3"/>
      <c r="F22" s="3"/>
      <c r="G22" s="3"/>
    </row>
    <row r="23" spans="4:7" x14ac:dyDescent="0.2">
      <c r="D23" s="3"/>
      <c r="E23" s="3"/>
      <c r="F23" s="3"/>
      <c r="G23" s="3"/>
    </row>
    <row r="24" spans="4:7" x14ac:dyDescent="0.2">
      <c r="D24" s="1"/>
      <c r="E24" s="1"/>
      <c r="F24" s="1"/>
      <c r="G24" s="1"/>
    </row>
    <row r="27" spans="4:7" x14ac:dyDescent="0.2">
      <c r="D27" s="1"/>
      <c r="E27" s="1"/>
      <c r="F27" s="1"/>
      <c r="G27" s="1"/>
    </row>
    <row r="28" spans="4:7" x14ac:dyDescent="0.2">
      <c r="D28" s="3"/>
      <c r="E28" s="3"/>
      <c r="F28" s="3"/>
      <c r="G28" s="3"/>
    </row>
    <row r="29" spans="4:7" x14ac:dyDescent="0.2">
      <c r="D29" s="3"/>
      <c r="E29" s="3"/>
      <c r="F29" s="3"/>
      <c r="G29" s="3"/>
    </row>
    <row r="30" spans="4:7" x14ac:dyDescent="0.2">
      <c r="D30" s="3"/>
      <c r="E30" s="3"/>
      <c r="F30" s="3"/>
      <c r="G30" s="3"/>
    </row>
    <row r="31" spans="4:7" x14ac:dyDescent="0.2">
      <c r="D31" s="3"/>
      <c r="E31" s="3"/>
      <c r="F31" s="3"/>
      <c r="G31" s="3"/>
    </row>
    <row r="32" spans="4:7" x14ac:dyDescent="0.2">
      <c r="D32" s="3"/>
      <c r="E32" s="3"/>
      <c r="F32" s="3"/>
      <c r="G32" s="3"/>
    </row>
    <row r="33" spans="4:7" x14ac:dyDescent="0.2">
      <c r="D33" s="3"/>
      <c r="E33" s="3"/>
      <c r="F33" s="3"/>
      <c r="G33" s="3"/>
    </row>
    <row r="35" spans="4:7" x14ac:dyDescent="0.2">
      <c r="D35" s="1"/>
      <c r="E35" s="1"/>
      <c r="F35" s="1"/>
      <c r="G35" s="1"/>
    </row>
    <row r="36" spans="4:7" x14ac:dyDescent="0.2">
      <c r="D36" s="3"/>
      <c r="E36" s="3"/>
      <c r="F36" s="3"/>
      <c r="G36" s="3"/>
    </row>
    <row r="37" spans="4:7" x14ac:dyDescent="0.2">
      <c r="D37" s="3"/>
      <c r="E37" s="3"/>
      <c r="F37" s="3"/>
      <c r="G37" s="3"/>
    </row>
    <row r="38" spans="4:7" x14ac:dyDescent="0.2">
      <c r="D38" s="3"/>
      <c r="E38" s="3"/>
      <c r="F38" s="3"/>
      <c r="G38" s="3"/>
    </row>
    <row r="39" spans="4:7" x14ac:dyDescent="0.2">
      <c r="D39" s="3"/>
      <c r="E39" s="3"/>
      <c r="F39" s="3"/>
      <c r="G39" s="3"/>
    </row>
    <row r="40" spans="4:7" x14ac:dyDescent="0.2">
      <c r="D40" s="3"/>
      <c r="E40" s="3"/>
      <c r="F40" s="3"/>
      <c r="G40" s="3"/>
    </row>
    <row r="41" spans="4:7" x14ac:dyDescent="0.2">
      <c r="D41" s="3"/>
      <c r="E41" s="3"/>
      <c r="F41" s="3"/>
      <c r="G41" s="3"/>
    </row>
    <row r="42" spans="4:7" x14ac:dyDescent="0.2">
      <c r="D42" s="3"/>
      <c r="E42" s="3"/>
      <c r="F42" s="3"/>
      <c r="G42" s="3"/>
    </row>
    <row r="43" spans="4:7" x14ac:dyDescent="0.2">
      <c r="D43" s="3"/>
      <c r="E43" s="3"/>
      <c r="F43" s="3"/>
      <c r="G43" s="3"/>
    </row>
    <row r="44" spans="4:7" x14ac:dyDescent="0.2">
      <c r="D44" s="3"/>
      <c r="E44" s="3"/>
      <c r="F44" s="3"/>
      <c r="G44" s="3"/>
    </row>
    <row r="45" spans="4:7" x14ac:dyDescent="0.2">
      <c r="D45" s="3"/>
      <c r="E45" s="3"/>
      <c r="F45" s="3"/>
      <c r="G45" s="3"/>
    </row>
    <row r="46" spans="4:7" x14ac:dyDescent="0.2">
      <c r="D46" s="3"/>
      <c r="E46" s="3"/>
      <c r="F46" s="3"/>
      <c r="G46" s="3"/>
    </row>
    <row r="47" spans="4:7" x14ac:dyDescent="0.2">
      <c r="D47" s="3"/>
      <c r="E47" s="3"/>
      <c r="F47" s="3"/>
      <c r="G47" s="3"/>
    </row>
    <row r="48" spans="4:7" x14ac:dyDescent="0.2">
      <c r="D48" s="3"/>
      <c r="E48" s="3"/>
      <c r="F48" s="3"/>
      <c r="G48" s="3"/>
    </row>
    <row r="49" spans="4:7" x14ac:dyDescent="0.2">
      <c r="D49" s="3"/>
      <c r="E49" s="3"/>
      <c r="F49" s="3"/>
      <c r="G49" s="3"/>
    </row>
    <row r="50" spans="4:7" x14ac:dyDescent="0.2">
      <c r="D50" s="3"/>
      <c r="E50" s="3"/>
      <c r="F50" s="3"/>
      <c r="G50" s="3"/>
    </row>
    <row r="51" spans="4:7" x14ac:dyDescent="0.2">
      <c r="D51" s="3"/>
      <c r="E51" s="3"/>
      <c r="F51" s="3"/>
      <c r="G51" s="3"/>
    </row>
    <row r="53" spans="4:7" x14ac:dyDescent="0.2">
      <c r="D53" s="1"/>
      <c r="E53" s="1"/>
      <c r="F53" s="1"/>
      <c r="G53" s="1"/>
    </row>
    <row r="54" spans="4:7" x14ac:dyDescent="0.2">
      <c r="D54" s="3"/>
      <c r="E54" s="3"/>
      <c r="F54" s="3"/>
      <c r="G54" s="3"/>
    </row>
    <row r="55" spans="4:7" x14ac:dyDescent="0.2">
      <c r="D55" s="3"/>
      <c r="E55" s="3"/>
      <c r="F55" s="3"/>
      <c r="G55" s="3"/>
    </row>
    <row r="56" spans="4:7" x14ac:dyDescent="0.2">
      <c r="D56" s="3"/>
      <c r="E56" s="3"/>
      <c r="F56" s="3"/>
      <c r="G56" s="3"/>
    </row>
    <row r="57" spans="4:7" x14ac:dyDescent="0.2">
      <c r="D57" s="3"/>
      <c r="E57" s="3"/>
      <c r="F57" s="3"/>
      <c r="G57" s="3"/>
    </row>
    <row r="58" spans="4:7" x14ac:dyDescent="0.2">
      <c r="D58" s="3"/>
      <c r="E58" s="3"/>
      <c r="F58" s="3"/>
      <c r="G58" s="3"/>
    </row>
    <row r="59" spans="4:7" x14ac:dyDescent="0.2">
      <c r="D59" s="3"/>
      <c r="E59" s="3"/>
      <c r="F59" s="3"/>
      <c r="G59" s="3"/>
    </row>
    <row r="60" spans="4:7" x14ac:dyDescent="0.2">
      <c r="D60" s="3"/>
      <c r="E60" s="3"/>
      <c r="F60" s="3"/>
      <c r="G60" s="3"/>
    </row>
    <row r="61" spans="4:7" x14ac:dyDescent="0.2">
      <c r="D61" s="3"/>
      <c r="E61" s="3"/>
      <c r="F61" s="3"/>
      <c r="G61" s="3"/>
    </row>
    <row r="62" spans="4:7" x14ac:dyDescent="0.2">
      <c r="D62" s="3"/>
      <c r="E62" s="3"/>
      <c r="F62" s="3"/>
      <c r="G62" s="3"/>
    </row>
    <row r="63" spans="4:7" x14ac:dyDescent="0.2">
      <c r="D63" s="3"/>
      <c r="E63" s="3"/>
      <c r="F63" s="3"/>
      <c r="G63" s="3"/>
    </row>
    <row r="64" spans="4:7" x14ac:dyDescent="0.2">
      <c r="D64" s="3"/>
      <c r="E64" s="3"/>
      <c r="F64" s="3"/>
      <c r="G64" s="3"/>
    </row>
    <row r="65" spans="4:7" x14ac:dyDescent="0.2">
      <c r="D65" s="3"/>
      <c r="E65" s="3"/>
      <c r="F65" s="3"/>
      <c r="G65" s="3"/>
    </row>
    <row r="66" spans="4:7" x14ac:dyDescent="0.2">
      <c r="D66" s="3"/>
      <c r="E66" s="3"/>
      <c r="F66" s="3"/>
      <c r="G66" s="3"/>
    </row>
    <row r="67" spans="4:7" x14ac:dyDescent="0.2">
      <c r="D67" s="3"/>
      <c r="E67" s="3"/>
      <c r="F67" s="3"/>
      <c r="G67" s="3"/>
    </row>
    <row r="69" spans="4:7" x14ac:dyDescent="0.2">
      <c r="D69" s="1"/>
      <c r="E69" s="1"/>
      <c r="F69" s="1"/>
      <c r="G69" s="1"/>
    </row>
    <row r="70" spans="4:7" x14ac:dyDescent="0.2">
      <c r="D70" s="3"/>
      <c r="E70" s="3"/>
      <c r="F70" s="3"/>
      <c r="G70" s="3"/>
    </row>
    <row r="71" spans="4:7" x14ac:dyDescent="0.2">
      <c r="D71" s="3"/>
      <c r="E71" s="3"/>
      <c r="F71" s="3"/>
      <c r="G71" s="3"/>
    </row>
    <row r="72" spans="4:7" x14ac:dyDescent="0.2">
      <c r="D72" s="3"/>
      <c r="E72" s="3"/>
      <c r="F72" s="3"/>
      <c r="G72" s="3"/>
    </row>
    <row r="73" spans="4:7" x14ac:dyDescent="0.2">
      <c r="D73" s="3"/>
      <c r="E73" s="3"/>
      <c r="F73" s="3"/>
      <c r="G73" s="3"/>
    </row>
    <row r="74" spans="4:7" x14ac:dyDescent="0.2">
      <c r="D74" s="3"/>
      <c r="E74" s="3"/>
      <c r="F74" s="3"/>
      <c r="G74" s="3"/>
    </row>
    <row r="75" spans="4:7" x14ac:dyDescent="0.2">
      <c r="D75" s="3"/>
      <c r="E75" s="3"/>
      <c r="F75" s="3"/>
      <c r="G75" s="3"/>
    </row>
    <row r="76" spans="4:7" x14ac:dyDescent="0.2">
      <c r="D76" s="3"/>
      <c r="E76" s="3"/>
      <c r="F76" s="3"/>
      <c r="G76" s="3"/>
    </row>
    <row r="77" spans="4:7" x14ac:dyDescent="0.2">
      <c r="D77" s="3"/>
      <c r="E77" s="3"/>
      <c r="F77" s="3"/>
      <c r="G77" s="3"/>
    </row>
  </sheetData>
  <sheetProtection algorithmName="SHA-512" hashValue="xCcaS0UJg3mEN0GATFth7hKxMf1sqZ3iuqnUNk8Q60i7/dYEfjG+VxAjlvvD6QJ+w6RKPjIMnCKes5ppB/lv+w==" saltValue="V3GpiEgM3dCIJXNDA72IzQ=="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tabSelected="1" topLeftCell="A28" zoomScaleNormal="100" workbookViewId="0">
      <selection activeCell="K46" sqref="K46"/>
    </sheetView>
  </sheetViews>
  <sheetFormatPr baseColWidth="10" defaultColWidth="9.1640625" defaultRowHeight="15" x14ac:dyDescent="0.2"/>
  <cols>
    <col min="1" max="2" width="9.1640625" style="19"/>
    <col min="3" max="3" width="34.83203125" style="19" customWidth="1"/>
    <col min="4" max="4" width="15.5" style="19" customWidth="1"/>
    <col min="5" max="10" width="12.6640625" style="19" customWidth="1"/>
    <col min="11" max="11" width="9.1640625" style="19"/>
    <col min="12" max="12" width="17.6640625" style="19" customWidth="1"/>
    <col min="13" max="13" width="18" style="19" customWidth="1"/>
    <col min="14" max="14" width="19.5" style="19" customWidth="1"/>
    <col min="15" max="15" width="20.5" style="19" customWidth="1"/>
    <col min="16" max="16" width="16.1640625" style="19" customWidth="1"/>
    <col min="17" max="17" width="14.33203125" style="19" customWidth="1"/>
    <col min="18" max="16384" width="9.1640625" style="19"/>
  </cols>
  <sheetData>
    <row r="1" spans="3:17" ht="16" thickBot="1" x14ac:dyDescent="0.25"/>
    <row r="2" spans="3:17" x14ac:dyDescent="0.2">
      <c r="C2" s="20" t="s">
        <v>128</v>
      </c>
      <c r="D2" s="21" t="s">
        <v>136</v>
      </c>
      <c r="E2" s="21"/>
      <c r="F2" s="21"/>
      <c r="G2" s="21"/>
      <c r="H2" s="21"/>
      <c r="I2" s="21"/>
      <c r="J2" s="22"/>
    </row>
    <row r="3" spans="3:17" x14ac:dyDescent="0.2">
      <c r="C3" s="23"/>
      <c r="D3" s="19" t="s">
        <v>127</v>
      </c>
      <c r="J3" s="24"/>
    </row>
    <row r="4" spans="3:17" x14ac:dyDescent="0.2">
      <c r="C4" s="23"/>
      <c r="D4" s="19" t="s">
        <v>214</v>
      </c>
      <c r="J4" s="24"/>
    </row>
    <row r="5" spans="3:17" x14ac:dyDescent="0.2">
      <c r="C5" s="23"/>
      <c r="D5" s="19" t="s">
        <v>126</v>
      </c>
      <c r="J5" s="24"/>
    </row>
    <row r="6" spans="3:17" x14ac:dyDescent="0.2">
      <c r="C6" s="23"/>
      <c r="D6" s="19" t="s">
        <v>202</v>
      </c>
      <c r="J6" s="24"/>
    </row>
    <row r="7" spans="3:17" ht="16" thickBot="1" x14ac:dyDescent="0.25">
      <c r="C7" s="46"/>
      <c r="D7" s="47"/>
      <c r="E7" s="47"/>
      <c r="F7" s="47"/>
      <c r="G7" s="47"/>
      <c r="H7" s="47"/>
      <c r="I7" s="47"/>
      <c r="J7" s="48"/>
    </row>
    <row r="8" spans="3:17" ht="16" thickBot="1" x14ac:dyDescent="0.25"/>
    <row r="9" spans="3:17" ht="16" thickBot="1" x14ac:dyDescent="0.25">
      <c r="C9" s="59" t="s">
        <v>135</v>
      </c>
      <c r="D9" s="124"/>
      <c r="E9" s="152" t="s">
        <v>134</v>
      </c>
      <c r="F9" s="152"/>
      <c r="G9" s="152"/>
      <c r="H9" s="152"/>
      <c r="I9" s="152"/>
      <c r="J9" s="153"/>
    </row>
    <row r="10" spans="3:17" ht="16" thickBot="1" x14ac:dyDescent="0.25">
      <c r="E10" s="60">
        <v>1</v>
      </c>
      <c r="F10" s="61">
        <v>2</v>
      </c>
      <c r="G10" s="61">
        <v>3</v>
      </c>
      <c r="H10" s="61">
        <v>4</v>
      </c>
      <c r="I10" s="62">
        <v>5</v>
      </c>
      <c r="J10" s="62">
        <v>6</v>
      </c>
    </row>
    <row r="11" spans="3:17" ht="16" thickBot="1" x14ac:dyDescent="0.25">
      <c r="E11" s="63"/>
      <c r="F11" s="63"/>
      <c r="G11" s="63"/>
      <c r="H11" s="63"/>
      <c r="I11" s="63"/>
      <c r="J11" s="63"/>
      <c r="L11" s="148" t="s">
        <v>192</v>
      </c>
      <c r="M11" s="149"/>
      <c r="N11" s="149"/>
      <c r="O11" s="149"/>
      <c r="P11" s="149"/>
      <c r="Q11" s="150"/>
    </row>
    <row r="12" spans="3:17" ht="16" thickBot="1" x14ac:dyDescent="0.25">
      <c r="C12" s="113" t="s">
        <v>78</v>
      </c>
      <c r="D12" s="114" t="s">
        <v>121</v>
      </c>
      <c r="E12" s="115" t="s">
        <v>10</v>
      </c>
      <c r="F12" s="32" t="s">
        <v>10</v>
      </c>
      <c r="G12" s="32" t="s">
        <v>10</v>
      </c>
      <c r="H12" s="32" t="s">
        <v>10</v>
      </c>
      <c r="I12" s="32" t="s">
        <v>10</v>
      </c>
      <c r="J12" s="32" t="s">
        <v>10</v>
      </c>
      <c r="L12" s="33">
        <v>1</v>
      </c>
      <c r="M12" s="34">
        <v>2</v>
      </c>
      <c r="N12" s="34">
        <v>3</v>
      </c>
      <c r="O12" s="34">
        <v>4</v>
      </c>
      <c r="P12" s="34">
        <v>5</v>
      </c>
      <c r="Q12" s="35">
        <v>6</v>
      </c>
    </row>
    <row r="13" spans="3:17" x14ac:dyDescent="0.2">
      <c r="C13" s="116" t="s">
        <v>75</v>
      </c>
      <c r="D13" s="38">
        <v>45880</v>
      </c>
      <c r="E13" s="122">
        <v>4</v>
      </c>
      <c r="F13" s="122">
        <v>5</v>
      </c>
      <c r="G13" s="122">
        <v>6</v>
      </c>
      <c r="H13" s="122">
        <v>7</v>
      </c>
      <c r="I13" s="122"/>
      <c r="J13" s="123"/>
      <c r="L13" s="118"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v>
      </c>
      <c r="P13" s="8" t="str">
        <f t="shared" ref="P13:P21" si="4">IF(OR(LEN(TRIM(I13))&gt;0, LEN(TRIM(I36))&gt;0, LEN(TRIM(I59))&gt;0, LEN(TRIM(I82))&gt;0), "✓", "")</f>
        <v/>
      </c>
      <c r="Q13" s="119" t="str">
        <f>IF(OR(LEN(TRIM(J13))&gt;0, LEN(TRIM(J36))&gt;0, LEN(TRIM(J59))&gt;0, LEN(TRIM(J82))&gt;0), "✓", "")</f>
        <v/>
      </c>
    </row>
    <row r="14" spans="3:17" x14ac:dyDescent="0.2">
      <c r="C14" s="64" t="s">
        <v>76</v>
      </c>
      <c r="D14" s="38">
        <v>45911</v>
      </c>
      <c r="E14" s="39">
        <v>6</v>
      </c>
      <c r="F14" s="39">
        <v>6</v>
      </c>
      <c r="G14" s="39">
        <v>7</v>
      </c>
      <c r="H14" s="39">
        <v>8</v>
      </c>
      <c r="I14" s="39"/>
      <c r="J14" s="120"/>
      <c r="L14" s="118" t="str">
        <f t="shared" si="0"/>
        <v>✓</v>
      </c>
      <c r="M14" s="8" t="str">
        <f t="shared" si="1"/>
        <v>✓</v>
      </c>
      <c r="N14" s="8" t="str">
        <f t="shared" si="2"/>
        <v>✓</v>
      </c>
      <c r="O14" s="8" t="str">
        <f t="shared" si="3"/>
        <v>✓</v>
      </c>
      <c r="P14" s="8" t="str">
        <f t="shared" si="4"/>
        <v/>
      </c>
      <c r="Q14" s="119" t="str">
        <f t="shared" ref="Q14:Q21" si="5">IF(OR(LEN(TRIM(J14))&gt;0, LEN(TRIM(J37))&gt;0, LEN(TRIM(J60))&gt;0, LEN(TRIM(J83))&gt;0), "✓", "")</f>
        <v/>
      </c>
    </row>
    <row r="15" spans="3:17" x14ac:dyDescent="0.2">
      <c r="C15" s="64" t="s">
        <v>77</v>
      </c>
      <c r="D15" s="38"/>
      <c r="E15" s="39"/>
      <c r="F15" s="39"/>
      <c r="G15" s="39"/>
      <c r="H15" s="39"/>
      <c r="I15" s="39"/>
      <c r="J15" s="120"/>
      <c r="L15" s="118" t="str">
        <f t="shared" si="0"/>
        <v/>
      </c>
      <c r="M15" s="8" t="str">
        <f t="shared" si="1"/>
        <v/>
      </c>
      <c r="N15" s="8" t="str">
        <f t="shared" si="2"/>
        <v/>
      </c>
      <c r="O15" s="8" t="str">
        <f t="shared" si="3"/>
        <v/>
      </c>
      <c r="P15" s="8" t="str">
        <f t="shared" si="4"/>
        <v/>
      </c>
      <c r="Q15" s="119" t="str">
        <f t="shared" si="5"/>
        <v/>
      </c>
    </row>
    <row r="16" spans="3:17" x14ac:dyDescent="0.2">
      <c r="C16" s="64" t="s">
        <v>79</v>
      </c>
      <c r="D16" s="38"/>
      <c r="E16" s="39"/>
      <c r="F16" s="39"/>
      <c r="G16" s="39"/>
      <c r="H16" s="39"/>
      <c r="I16" s="39"/>
      <c r="J16" s="120"/>
      <c r="L16" s="118" t="str">
        <f t="shared" si="0"/>
        <v/>
      </c>
      <c r="M16" s="8" t="str">
        <f t="shared" si="1"/>
        <v/>
      </c>
      <c r="N16" s="8" t="str">
        <f t="shared" si="2"/>
        <v/>
      </c>
      <c r="O16" s="8" t="str">
        <f t="shared" si="3"/>
        <v/>
      </c>
      <c r="P16" s="8" t="str">
        <f t="shared" si="4"/>
        <v/>
      </c>
      <c r="Q16" s="119" t="str">
        <f t="shared" si="5"/>
        <v/>
      </c>
    </row>
    <row r="17" spans="3:17" x14ac:dyDescent="0.2">
      <c r="C17" s="64" t="s">
        <v>80</v>
      </c>
      <c r="D17" s="38"/>
      <c r="E17" s="39"/>
      <c r="F17" s="39"/>
      <c r="G17" s="39"/>
      <c r="H17" s="39"/>
      <c r="I17" s="39"/>
      <c r="J17" s="120"/>
      <c r="L17" s="118" t="str">
        <f t="shared" si="0"/>
        <v/>
      </c>
      <c r="M17" s="8" t="str">
        <f t="shared" si="1"/>
        <v/>
      </c>
      <c r="N17" s="8" t="str">
        <f t="shared" si="2"/>
        <v/>
      </c>
      <c r="O17" s="8" t="str">
        <f t="shared" si="3"/>
        <v/>
      </c>
      <c r="P17" s="8" t="str">
        <f t="shared" si="4"/>
        <v/>
      </c>
      <c r="Q17" s="119" t="str">
        <f t="shared" si="5"/>
        <v/>
      </c>
    </row>
    <row r="18" spans="3:17" x14ac:dyDescent="0.2">
      <c r="C18" s="64" t="s">
        <v>81</v>
      </c>
      <c r="D18" s="38"/>
      <c r="E18" s="39"/>
      <c r="F18" s="39"/>
      <c r="G18" s="39"/>
      <c r="H18" s="39"/>
      <c r="I18" s="39"/>
      <c r="J18" s="120"/>
      <c r="L18" s="118" t="str">
        <f t="shared" si="0"/>
        <v/>
      </c>
      <c r="M18" s="8" t="str">
        <f t="shared" si="1"/>
        <v/>
      </c>
      <c r="N18" s="8" t="str">
        <f t="shared" si="2"/>
        <v/>
      </c>
      <c r="O18" s="8" t="str">
        <f t="shared" si="3"/>
        <v/>
      </c>
      <c r="P18" s="8" t="str">
        <f t="shared" si="4"/>
        <v/>
      </c>
      <c r="Q18" s="119" t="str">
        <f t="shared" si="5"/>
        <v/>
      </c>
    </row>
    <row r="19" spans="3:17" x14ac:dyDescent="0.2">
      <c r="C19" s="64" t="s">
        <v>82</v>
      </c>
      <c r="D19" s="38"/>
      <c r="E19" s="39"/>
      <c r="F19" s="39"/>
      <c r="G19" s="39"/>
      <c r="H19" s="39"/>
      <c r="I19" s="39"/>
      <c r="J19" s="120"/>
      <c r="L19" s="118" t="str">
        <f t="shared" si="0"/>
        <v/>
      </c>
      <c r="M19" s="8" t="str">
        <f t="shared" si="1"/>
        <v/>
      </c>
      <c r="N19" s="8" t="str">
        <f t="shared" si="2"/>
        <v/>
      </c>
      <c r="O19" s="8" t="str">
        <f t="shared" si="3"/>
        <v/>
      </c>
      <c r="P19" s="8" t="str">
        <f t="shared" si="4"/>
        <v/>
      </c>
      <c r="Q19" s="119" t="str">
        <f t="shared" si="5"/>
        <v/>
      </c>
    </row>
    <row r="20" spans="3:17" x14ac:dyDescent="0.2">
      <c r="C20" s="64" t="s">
        <v>83</v>
      </c>
      <c r="D20" s="38"/>
      <c r="E20" s="39"/>
      <c r="F20" s="39"/>
      <c r="G20" s="39"/>
      <c r="H20" s="39"/>
      <c r="I20" s="39"/>
      <c r="J20" s="120"/>
      <c r="L20" s="118" t="str">
        <f t="shared" si="0"/>
        <v/>
      </c>
      <c r="M20" s="8" t="str">
        <f t="shared" si="1"/>
        <v/>
      </c>
      <c r="N20" s="8" t="str">
        <f t="shared" si="2"/>
        <v/>
      </c>
      <c r="O20" s="8" t="str">
        <f t="shared" si="3"/>
        <v/>
      </c>
      <c r="P20" s="8" t="str">
        <f t="shared" si="4"/>
        <v/>
      </c>
      <c r="Q20" s="119" t="str">
        <f t="shared" si="5"/>
        <v/>
      </c>
    </row>
    <row r="21" spans="3:17" x14ac:dyDescent="0.2">
      <c r="C21" s="64" t="s">
        <v>84</v>
      </c>
      <c r="D21" s="38"/>
      <c r="E21" s="39"/>
      <c r="F21" s="39"/>
      <c r="G21" s="39"/>
      <c r="H21" s="39"/>
      <c r="I21" s="39"/>
      <c r="J21" s="120"/>
      <c r="L21" s="118" t="str">
        <f t="shared" si="0"/>
        <v/>
      </c>
      <c r="M21" s="8" t="str">
        <f t="shared" si="1"/>
        <v/>
      </c>
      <c r="N21" s="8" t="str">
        <f t="shared" si="2"/>
        <v/>
      </c>
      <c r="O21" s="8" t="str">
        <f t="shared" si="3"/>
        <v/>
      </c>
      <c r="P21" s="8" t="str">
        <f t="shared" si="4"/>
        <v/>
      </c>
      <c r="Q21" s="119" t="str">
        <f t="shared" si="5"/>
        <v/>
      </c>
    </row>
    <row r="22" spans="3:17" x14ac:dyDescent="0.2">
      <c r="C22" s="64" t="s">
        <v>178</v>
      </c>
      <c r="D22" s="38"/>
      <c r="E22" s="39"/>
      <c r="F22" s="39"/>
      <c r="G22" s="39"/>
      <c r="H22" s="39"/>
      <c r="I22" s="39"/>
      <c r="J22" s="120"/>
      <c r="L22" s="118"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9" t="str">
        <f t="shared" ref="Q22:Q30" si="10">IF(OR(LEN(TRIM(J22))&gt;0, LEN(TRIM(J45))&gt;0, LEN(TRIM(J68))&gt;0, LEN(TRIM(J91))&gt;0), "✓", "")</f>
        <v/>
      </c>
    </row>
    <row r="23" spans="3:17" x14ac:dyDescent="0.2">
      <c r="C23" s="64" t="s">
        <v>179</v>
      </c>
      <c r="D23" s="38"/>
      <c r="E23" s="39"/>
      <c r="F23" s="39"/>
      <c r="G23" s="39"/>
      <c r="H23" s="39"/>
      <c r="I23" s="39"/>
      <c r="J23" s="120"/>
      <c r="L23" s="118" t="str">
        <f t="shared" si="0"/>
        <v/>
      </c>
      <c r="M23" s="8" t="str">
        <f t="shared" si="6"/>
        <v/>
      </c>
      <c r="N23" s="8" t="str">
        <f t="shared" si="7"/>
        <v/>
      </c>
      <c r="O23" s="8" t="str">
        <f t="shared" si="8"/>
        <v/>
      </c>
      <c r="P23" s="8" t="str">
        <f t="shared" si="9"/>
        <v/>
      </c>
      <c r="Q23" s="119" t="str">
        <f t="shared" si="10"/>
        <v/>
      </c>
    </row>
    <row r="24" spans="3:17" x14ac:dyDescent="0.2">
      <c r="C24" s="64" t="s">
        <v>180</v>
      </c>
      <c r="D24" s="38"/>
      <c r="E24" s="39"/>
      <c r="F24" s="39"/>
      <c r="G24" s="39"/>
      <c r="H24" s="39"/>
      <c r="I24" s="39"/>
      <c r="J24" s="120"/>
      <c r="L24" s="118" t="str">
        <f t="shared" si="0"/>
        <v/>
      </c>
      <c r="M24" s="8" t="str">
        <f t="shared" si="6"/>
        <v/>
      </c>
      <c r="N24" s="8" t="str">
        <f t="shared" si="7"/>
        <v/>
      </c>
      <c r="O24" s="8" t="str">
        <f t="shared" si="8"/>
        <v/>
      </c>
      <c r="P24" s="8" t="str">
        <f t="shared" si="9"/>
        <v/>
      </c>
      <c r="Q24" s="119" t="str">
        <f t="shared" si="10"/>
        <v/>
      </c>
    </row>
    <row r="25" spans="3:17" x14ac:dyDescent="0.2">
      <c r="C25" s="64" t="s">
        <v>181</v>
      </c>
      <c r="D25" s="38"/>
      <c r="E25" s="39"/>
      <c r="F25" s="39"/>
      <c r="G25" s="39"/>
      <c r="H25" s="39"/>
      <c r="I25" s="39"/>
      <c r="J25" s="120"/>
      <c r="L25" s="118" t="str">
        <f t="shared" si="0"/>
        <v/>
      </c>
      <c r="M25" s="8" t="str">
        <f t="shared" si="6"/>
        <v/>
      </c>
      <c r="N25" s="8" t="str">
        <f t="shared" si="7"/>
        <v/>
      </c>
      <c r="O25" s="8" t="str">
        <f t="shared" si="8"/>
        <v/>
      </c>
      <c r="P25" s="8" t="str">
        <f t="shared" si="9"/>
        <v/>
      </c>
      <c r="Q25" s="119" t="str">
        <f t="shared" si="10"/>
        <v/>
      </c>
    </row>
    <row r="26" spans="3:17" x14ac:dyDescent="0.2">
      <c r="C26" s="64" t="s">
        <v>182</v>
      </c>
      <c r="D26" s="38"/>
      <c r="E26" s="39"/>
      <c r="F26" s="39"/>
      <c r="G26" s="39"/>
      <c r="H26" s="39"/>
      <c r="I26" s="39"/>
      <c r="J26" s="120"/>
      <c r="L26" s="118" t="str">
        <f t="shared" si="0"/>
        <v/>
      </c>
      <c r="M26" s="8" t="str">
        <f t="shared" si="6"/>
        <v/>
      </c>
      <c r="N26" s="8" t="str">
        <f t="shared" si="7"/>
        <v/>
      </c>
      <c r="O26" s="8" t="str">
        <f t="shared" si="8"/>
        <v/>
      </c>
      <c r="P26" s="8" t="str">
        <f t="shared" si="9"/>
        <v/>
      </c>
      <c r="Q26" s="119" t="str">
        <f t="shared" si="10"/>
        <v/>
      </c>
    </row>
    <row r="27" spans="3:17" x14ac:dyDescent="0.2">
      <c r="C27" s="64" t="s">
        <v>183</v>
      </c>
      <c r="D27" s="38"/>
      <c r="E27" s="39"/>
      <c r="F27" s="39"/>
      <c r="G27" s="39"/>
      <c r="H27" s="39"/>
      <c r="I27" s="39"/>
      <c r="J27" s="120"/>
      <c r="L27" s="118" t="str">
        <f t="shared" si="0"/>
        <v/>
      </c>
      <c r="M27" s="8" t="str">
        <f t="shared" si="6"/>
        <v/>
      </c>
      <c r="N27" s="8" t="str">
        <f t="shared" si="7"/>
        <v/>
      </c>
      <c r="O27" s="8" t="str">
        <f t="shared" si="8"/>
        <v/>
      </c>
      <c r="P27" s="8" t="str">
        <f t="shared" si="9"/>
        <v/>
      </c>
      <c r="Q27" s="119" t="str">
        <f t="shared" si="10"/>
        <v/>
      </c>
    </row>
    <row r="28" spans="3:17" x14ac:dyDescent="0.2">
      <c r="C28" s="64" t="s">
        <v>184</v>
      </c>
      <c r="D28" s="38"/>
      <c r="E28" s="39"/>
      <c r="F28" s="39"/>
      <c r="G28" s="39"/>
      <c r="H28" s="39"/>
      <c r="I28" s="39"/>
      <c r="J28" s="120"/>
      <c r="L28" s="118" t="str">
        <f t="shared" si="0"/>
        <v/>
      </c>
      <c r="M28" s="8" t="str">
        <f t="shared" si="6"/>
        <v/>
      </c>
      <c r="N28" s="8" t="str">
        <f t="shared" si="7"/>
        <v/>
      </c>
      <c r="O28" s="8" t="str">
        <f t="shared" si="8"/>
        <v/>
      </c>
      <c r="P28" s="8" t="str">
        <f t="shared" si="9"/>
        <v/>
      </c>
      <c r="Q28" s="119" t="str">
        <f t="shared" si="10"/>
        <v/>
      </c>
    </row>
    <row r="29" spans="3:17" x14ac:dyDescent="0.2">
      <c r="C29" s="64" t="s">
        <v>185</v>
      </c>
      <c r="D29" s="38"/>
      <c r="E29" s="39"/>
      <c r="F29" s="39"/>
      <c r="G29" s="39"/>
      <c r="H29" s="39"/>
      <c r="I29" s="39"/>
      <c r="J29" s="120"/>
      <c r="L29" s="118" t="str">
        <f t="shared" si="0"/>
        <v/>
      </c>
      <c r="M29" s="8" t="str">
        <f t="shared" si="6"/>
        <v/>
      </c>
      <c r="N29" s="8" t="str">
        <f t="shared" si="7"/>
        <v/>
      </c>
      <c r="O29" s="8" t="str">
        <f t="shared" si="8"/>
        <v/>
      </c>
      <c r="P29" s="8" t="str">
        <f t="shared" si="9"/>
        <v/>
      </c>
      <c r="Q29" s="119" t="str">
        <f t="shared" si="10"/>
        <v/>
      </c>
    </row>
    <row r="30" spans="3:17" ht="16" thickBot="1" x14ac:dyDescent="0.25">
      <c r="C30" s="65" t="s">
        <v>186</v>
      </c>
      <c r="D30" s="43"/>
      <c r="E30" s="44"/>
      <c r="F30" s="44"/>
      <c r="G30" s="44"/>
      <c r="H30" s="44"/>
      <c r="I30" s="44"/>
      <c r="J30" s="121"/>
      <c r="L30" s="118" t="str">
        <f>IF(OR(LEN(TRIM(E30))&gt;0, LEN(TRIM(E53))&gt;0, LEN(TRIM(E76))&gt;0, LEN(TRIM(E99))&gt;0), "✓", "")</f>
        <v/>
      </c>
      <c r="M30" s="8" t="str">
        <f t="shared" si="6"/>
        <v/>
      </c>
      <c r="N30" s="8" t="str">
        <f t="shared" si="7"/>
        <v/>
      </c>
      <c r="O30" s="8" t="str">
        <f t="shared" si="8"/>
        <v/>
      </c>
      <c r="P30" s="8" t="str">
        <f t="shared" si="9"/>
        <v/>
      </c>
      <c r="Q30" s="119" t="str">
        <f t="shared" si="10"/>
        <v/>
      </c>
    </row>
    <row r="31" spans="3:17" ht="16" thickBot="1" x14ac:dyDescent="0.25"/>
    <row r="32" spans="3:17" ht="16" thickBot="1" x14ac:dyDescent="0.25">
      <c r="C32" s="59" t="s">
        <v>135</v>
      </c>
      <c r="D32" s="124"/>
      <c r="E32" s="151" t="s">
        <v>137</v>
      </c>
      <c r="F32" s="152"/>
      <c r="G32" s="152"/>
      <c r="H32" s="152"/>
      <c r="I32" s="152"/>
      <c r="J32" s="153"/>
      <c r="L32"/>
      <c r="M32"/>
      <c r="N32"/>
      <c r="O32"/>
      <c r="P32"/>
      <c r="Q32"/>
    </row>
    <row r="33" spans="2:17" ht="16" thickBot="1" x14ac:dyDescent="0.25">
      <c r="E33" s="60">
        <v>1</v>
      </c>
      <c r="F33" s="61">
        <v>2</v>
      </c>
      <c r="G33" s="61">
        <v>3</v>
      </c>
      <c r="H33" s="61">
        <v>4</v>
      </c>
      <c r="I33" s="62">
        <v>5</v>
      </c>
      <c r="J33" s="62">
        <v>6</v>
      </c>
      <c r="L33" s="85" t="str">
        <f t="shared" ref="L33:Q33" si="11">IF(COUNTIF(L13:L21,"✓")=0, "",
   IF(OR(
     AND(L13="✓", L14="✓", L15="✓"),
     AND(L14="✓", L15="✓", L16="✓"),
     AND(L15="✓", L16="✓", L17="✓"),
     AND(L16="✓", L17="✓", L18="✓"),
     AND(L17="✓", L18="✓", L19="✓"),
     AND(L18="✓", L19="✓", L20="✓"),
     AND(L19="✓", L20="✓", L21="✓")
   ), "Complete", "Incomplete"))</f>
        <v>Incomplete</v>
      </c>
      <c r="M33" s="85" t="str">
        <f t="shared" si="11"/>
        <v>Incomplete</v>
      </c>
      <c r="N33" s="85" t="str">
        <f t="shared" si="11"/>
        <v>Incomplete</v>
      </c>
      <c r="O33" s="85" t="str">
        <f t="shared" si="11"/>
        <v>Incomplete</v>
      </c>
      <c r="P33" s="85" t="str">
        <f t="shared" si="11"/>
        <v/>
      </c>
      <c r="Q33" s="85" t="str">
        <f t="shared" si="11"/>
        <v/>
      </c>
    </row>
    <row r="34" spans="2:17" ht="16" thickBot="1" x14ac:dyDescent="0.25">
      <c r="E34" s="117"/>
      <c r="F34" s="117"/>
      <c r="G34" s="117"/>
      <c r="H34" s="117"/>
      <c r="I34" s="117"/>
      <c r="J34" s="117"/>
    </row>
    <row r="35" spans="2:17" ht="16" thickBot="1" x14ac:dyDescent="0.25">
      <c r="B35" s="25"/>
      <c r="C35" s="101" t="s">
        <v>78</v>
      </c>
      <c r="D35" s="111" t="s">
        <v>121</v>
      </c>
      <c r="E35" s="115" t="s">
        <v>10</v>
      </c>
      <c r="F35" s="32" t="s">
        <v>10</v>
      </c>
      <c r="G35" s="32" t="s">
        <v>10</v>
      </c>
      <c r="H35" s="32" t="s">
        <v>10</v>
      </c>
      <c r="I35" s="32" t="s">
        <v>10</v>
      </c>
      <c r="J35" s="32" t="s">
        <v>10</v>
      </c>
      <c r="L35" s="154" t="s">
        <v>193</v>
      </c>
      <c r="M35" s="155"/>
      <c r="N35" s="155"/>
      <c r="O35" s="156"/>
      <c r="P35" s="25"/>
      <c r="Q35" s="138" t="s">
        <v>196</v>
      </c>
    </row>
    <row r="36" spans="2:17" ht="16" thickBot="1" x14ac:dyDescent="0.25">
      <c r="C36" s="64" t="s">
        <v>75</v>
      </c>
      <c r="D36" s="38">
        <v>45880</v>
      </c>
      <c r="E36" s="39">
        <v>4</v>
      </c>
      <c r="F36" s="39">
        <v>5</v>
      </c>
      <c r="G36" s="39">
        <v>6</v>
      </c>
      <c r="H36" s="39">
        <v>7</v>
      </c>
      <c r="I36" s="39"/>
      <c r="J36" s="120"/>
      <c r="L36" s="129" t="s">
        <v>194</v>
      </c>
      <c r="M36" s="130" t="s">
        <v>195</v>
      </c>
      <c r="N36" s="130" t="s">
        <v>163</v>
      </c>
      <c r="O36" s="131" t="s">
        <v>164</v>
      </c>
      <c r="Q36" s="139" t="str">
        <f>IF(COUNTIF(L37:O53, "✓")+COUNTIF(L37:O53, "⚠️ Not in Order")=0, "", IF(COUNTIF(L37:O53, "⚠️ Not in Order")&gt;0, "⚠️ Not in Order", "✓ All in Order"))</f>
        <v>✓ All in Order</v>
      </c>
    </row>
    <row r="37" spans="2:17" x14ac:dyDescent="0.2">
      <c r="C37" s="64" t="s">
        <v>76</v>
      </c>
      <c r="D37" s="38">
        <v>45911</v>
      </c>
      <c r="E37" s="39">
        <v>6</v>
      </c>
      <c r="F37" s="39">
        <v>6</v>
      </c>
      <c r="G37" s="39">
        <v>7</v>
      </c>
      <c r="H37" s="39">
        <v>8</v>
      </c>
      <c r="I37" s="39"/>
      <c r="J37" s="120"/>
      <c r="L37" s="132" t="str">
        <f>IF(OR(D14="", D13=""), "", IF(D14&gt;=D13, "✓", "⚠️ Not in Order"))</f>
        <v>✓</v>
      </c>
      <c r="M37" s="133" t="str">
        <f>IF(OR(D37="", D36=""), "", IF(D37&gt;=D36, "✓", "⚠️ Not in Order"))</f>
        <v>✓</v>
      </c>
      <c r="N37" s="133" t="str">
        <f>IF(OR(D60="", D59=""), "", IF(D60&gt;=D59, "✓", "⚠️ Not in Order"))</f>
        <v>✓</v>
      </c>
      <c r="O37" s="134" t="str">
        <f>IF(OR(D83="", D82=""), "", IF(D83&gt;=D82, "✓", "⚠️ Not in Order"))</f>
        <v>✓</v>
      </c>
    </row>
    <row r="38" spans="2:17" x14ac:dyDescent="0.2">
      <c r="C38" s="64" t="s">
        <v>77</v>
      </c>
      <c r="D38" s="38"/>
      <c r="E38" s="39"/>
      <c r="F38" s="39"/>
      <c r="G38" s="39"/>
      <c r="H38" s="39"/>
      <c r="I38" s="39"/>
      <c r="J38" s="120"/>
      <c r="L38" s="118" t="str">
        <f t="shared" ref="L38:L53" si="12">IF(OR(D15="", D14=""), "", IF(D15&gt;=D14, "✓", "⚠️ Not in Order"))</f>
        <v/>
      </c>
      <c r="M38" s="8" t="str">
        <f t="shared" ref="M38:M53" si="13">IF(OR(D38="", D37=""), "", IF(D38&gt;=D37, "✓", "⚠️ Not in Order"))</f>
        <v/>
      </c>
      <c r="N38" s="8" t="str">
        <f t="shared" ref="N38:N53" si="14">IF(OR(D61="", D60=""), "", IF(D61&gt;=D60, "✓", "⚠️ Not in Order"))</f>
        <v/>
      </c>
      <c r="O38" s="119" t="str">
        <f t="shared" ref="O38:O53" si="15">IF(OR(D84="", D83=""), "", IF(D84&gt;=D83, "✓", "⚠️ Not in Order"))</f>
        <v/>
      </c>
    </row>
    <row r="39" spans="2:17" x14ac:dyDescent="0.2">
      <c r="C39" s="64" t="s">
        <v>79</v>
      </c>
      <c r="D39" s="38"/>
      <c r="E39" s="39"/>
      <c r="F39" s="39"/>
      <c r="G39" s="39"/>
      <c r="H39" s="39"/>
      <c r="I39" s="39"/>
      <c r="J39" s="120"/>
      <c r="L39" s="118" t="str">
        <f t="shared" si="12"/>
        <v/>
      </c>
      <c r="M39" s="8" t="str">
        <f t="shared" si="13"/>
        <v/>
      </c>
      <c r="N39" s="8" t="str">
        <f t="shared" si="14"/>
        <v/>
      </c>
      <c r="O39" s="119" t="str">
        <f t="shared" si="15"/>
        <v/>
      </c>
    </row>
    <row r="40" spans="2:17" x14ac:dyDescent="0.2">
      <c r="C40" s="64" t="s">
        <v>80</v>
      </c>
      <c r="D40" s="38"/>
      <c r="E40" s="39"/>
      <c r="F40" s="39"/>
      <c r="G40" s="39"/>
      <c r="H40" s="39"/>
      <c r="I40" s="39"/>
      <c r="J40" s="120"/>
      <c r="L40" s="118" t="str">
        <f t="shared" si="12"/>
        <v/>
      </c>
      <c r="M40" s="8" t="str">
        <f t="shared" si="13"/>
        <v/>
      </c>
      <c r="N40" s="8" t="str">
        <f t="shared" si="14"/>
        <v/>
      </c>
      <c r="O40" s="119" t="str">
        <f t="shared" si="15"/>
        <v/>
      </c>
    </row>
    <row r="41" spans="2:17" x14ac:dyDescent="0.2">
      <c r="C41" s="64" t="s">
        <v>81</v>
      </c>
      <c r="D41" s="38"/>
      <c r="E41" s="39"/>
      <c r="F41" s="39"/>
      <c r="G41" s="39"/>
      <c r="H41" s="39"/>
      <c r="I41" s="39"/>
      <c r="J41" s="120"/>
      <c r="L41" s="118" t="str">
        <f t="shared" si="12"/>
        <v/>
      </c>
      <c r="M41" s="8" t="str">
        <f t="shared" si="13"/>
        <v/>
      </c>
      <c r="N41" s="8" t="str">
        <f t="shared" si="14"/>
        <v/>
      </c>
      <c r="O41" s="119" t="str">
        <f t="shared" si="15"/>
        <v/>
      </c>
    </row>
    <row r="42" spans="2:17" x14ac:dyDescent="0.2">
      <c r="C42" s="64" t="s">
        <v>82</v>
      </c>
      <c r="D42" s="38"/>
      <c r="E42" s="39"/>
      <c r="F42" s="39"/>
      <c r="G42" s="39"/>
      <c r="H42" s="39"/>
      <c r="I42" s="39"/>
      <c r="J42" s="120"/>
      <c r="L42" s="118" t="str">
        <f t="shared" si="12"/>
        <v/>
      </c>
      <c r="M42" s="8" t="str">
        <f t="shared" si="13"/>
        <v/>
      </c>
      <c r="N42" s="8" t="str">
        <f t="shared" si="14"/>
        <v/>
      </c>
      <c r="O42" s="119" t="str">
        <f t="shared" si="15"/>
        <v/>
      </c>
    </row>
    <row r="43" spans="2:17" x14ac:dyDescent="0.2">
      <c r="C43" s="64" t="s">
        <v>83</v>
      </c>
      <c r="D43" s="38"/>
      <c r="E43" s="39"/>
      <c r="F43" s="39"/>
      <c r="G43" s="39"/>
      <c r="H43" s="39"/>
      <c r="I43" s="39"/>
      <c r="J43" s="120"/>
      <c r="L43" s="118" t="str">
        <f t="shared" si="12"/>
        <v/>
      </c>
      <c r="M43" s="8" t="str">
        <f t="shared" si="13"/>
        <v/>
      </c>
      <c r="N43" s="8" t="str">
        <f t="shared" si="14"/>
        <v/>
      </c>
      <c r="O43" s="119" t="str">
        <f t="shared" si="15"/>
        <v/>
      </c>
    </row>
    <row r="44" spans="2:17" x14ac:dyDescent="0.2">
      <c r="C44" s="64" t="s">
        <v>84</v>
      </c>
      <c r="D44" s="38"/>
      <c r="E44" s="39"/>
      <c r="F44" s="39"/>
      <c r="G44" s="39"/>
      <c r="H44" s="39"/>
      <c r="I44" s="39"/>
      <c r="J44" s="120"/>
      <c r="L44" s="118" t="str">
        <f t="shared" si="12"/>
        <v/>
      </c>
      <c r="M44" s="8" t="str">
        <f t="shared" si="13"/>
        <v/>
      </c>
      <c r="N44" s="8" t="str">
        <f t="shared" si="14"/>
        <v/>
      </c>
      <c r="O44" s="119" t="str">
        <f t="shared" si="15"/>
        <v/>
      </c>
    </row>
    <row r="45" spans="2:17" x14ac:dyDescent="0.2">
      <c r="C45" s="64" t="s">
        <v>178</v>
      </c>
      <c r="D45" s="38"/>
      <c r="E45" s="39"/>
      <c r="F45" s="39"/>
      <c r="G45" s="39"/>
      <c r="H45" s="39"/>
      <c r="I45" s="39"/>
      <c r="J45" s="120"/>
      <c r="L45" s="118" t="str">
        <f t="shared" si="12"/>
        <v/>
      </c>
      <c r="M45" s="8" t="str">
        <f t="shared" si="13"/>
        <v/>
      </c>
      <c r="N45" s="8" t="str">
        <f t="shared" si="14"/>
        <v/>
      </c>
      <c r="O45" s="119" t="str">
        <f t="shared" si="15"/>
        <v/>
      </c>
    </row>
    <row r="46" spans="2:17" x14ac:dyDescent="0.2">
      <c r="C46" s="64" t="s">
        <v>179</v>
      </c>
      <c r="D46" s="38"/>
      <c r="E46" s="39"/>
      <c r="F46" s="39"/>
      <c r="G46" s="39"/>
      <c r="H46" s="39"/>
      <c r="I46" s="39"/>
      <c r="J46" s="120"/>
      <c r="L46" s="118" t="str">
        <f t="shared" si="12"/>
        <v/>
      </c>
      <c r="M46" s="8" t="str">
        <f t="shared" si="13"/>
        <v/>
      </c>
      <c r="N46" s="8" t="str">
        <f t="shared" si="14"/>
        <v/>
      </c>
      <c r="O46" s="119" t="str">
        <f t="shared" si="15"/>
        <v/>
      </c>
    </row>
    <row r="47" spans="2:17" x14ac:dyDescent="0.2">
      <c r="C47" s="64" t="s">
        <v>180</v>
      </c>
      <c r="D47" s="38"/>
      <c r="E47" s="39"/>
      <c r="F47" s="39"/>
      <c r="G47" s="39"/>
      <c r="H47" s="39"/>
      <c r="I47" s="39"/>
      <c r="J47" s="120"/>
      <c r="L47" s="118" t="str">
        <f t="shared" si="12"/>
        <v/>
      </c>
      <c r="M47" s="8" t="str">
        <f t="shared" si="13"/>
        <v/>
      </c>
      <c r="N47" s="8" t="str">
        <f t="shared" si="14"/>
        <v/>
      </c>
      <c r="O47" s="119" t="str">
        <f t="shared" si="15"/>
        <v/>
      </c>
    </row>
    <row r="48" spans="2:17" x14ac:dyDescent="0.2">
      <c r="C48" s="64" t="s">
        <v>181</v>
      </c>
      <c r="D48" s="38"/>
      <c r="E48" s="39"/>
      <c r="F48" s="39"/>
      <c r="G48" s="39"/>
      <c r="H48" s="39"/>
      <c r="I48" s="39"/>
      <c r="J48" s="120"/>
      <c r="L48" s="118" t="str">
        <f t="shared" si="12"/>
        <v/>
      </c>
      <c r="M48" s="8" t="str">
        <f t="shared" si="13"/>
        <v/>
      </c>
      <c r="N48" s="8" t="str">
        <f t="shared" si="14"/>
        <v/>
      </c>
      <c r="O48" s="119" t="str">
        <f t="shared" si="15"/>
        <v/>
      </c>
    </row>
    <row r="49" spans="2:15" x14ac:dyDescent="0.2">
      <c r="C49" s="64" t="s">
        <v>182</v>
      </c>
      <c r="D49" s="38"/>
      <c r="E49" s="39"/>
      <c r="F49" s="39"/>
      <c r="G49" s="39"/>
      <c r="H49" s="39"/>
      <c r="I49" s="39"/>
      <c r="J49" s="120"/>
      <c r="L49" s="118" t="str">
        <f t="shared" si="12"/>
        <v/>
      </c>
      <c r="M49" s="8" t="str">
        <f t="shared" si="13"/>
        <v/>
      </c>
      <c r="N49" s="8" t="str">
        <f t="shared" si="14"/>
        <v/>
      </c>
      <c r="O49" s="119" t="str">
        <f t="shared" si="15"/>
        <v/>
      </c>
    </row>
    <row r="50" spans="2:15" x14ac:dyDescent="0.2">
      <c r="C50" s="64" t="s">
        <v>183</v>
      </c>
      <c r="D50" s="38"/>
      <c r="E50" s="39"/>
      <c r="F50" s="39"/>
      <c r="G50" s="39"/>
      <c r="H50" s="39"/>
      <c r="I50" s="39"/>
      <c r="J50" s="120"/>
      <c r="L50" s="118" t="str">
        <f t="shared" si="12"/>
        <v/>
      </c>
      <c r="M50" s="8" t="str">
        <f t="shared" si="13"/>
        <v/>
      </c>
      <c r="N50" s="8" t="str">
        <f t="shared" si="14"/>
        <v/>
      </c>
      <c r="O50" s="119" t="str">
        <f t="shared" si="15"/>
        <v/>
      </c>
    </row>
    <row r="51" spans="2:15" x14ac:dyDescent="0.2">
      <c r="C51" s="64" t="s">
        <v>184</v>
      </c>
      <c r="D51" s="38"/>
      <c r="E51" s="39"/>
      <c r="F51" s="39"/>
      <c r="G51" s="39"/>
      <c r="H51" s="39"/>
      <c r="I51" s="39"/>
      <c r="J51" s="120"/>
      <c r="L51" s="118" t="str">
        <f t="shared" si="12"/>
        <v/>
      </c>
      <c r="M51" s="8" t="str">
        <f t="shared" si="13"/>
        <v/>
      </c>
      <c r="N51" s="8" t="str">
        <f t="shared" si="14"/>
        <v/>
      </c>
      <c r="O51" s="119" t="str">
        <f t="shared" si="15"/>
        <v/>
      </c>
    </row>
    <row r="52" spans="2:15" x14ac:dyDescent="0.2">
      <c r="C52" s="64" t="s">
        <v>185</v>
      </c>
      <c r="D52" s="38"/>
      <c r="E52" s="39"/>
      <c r="F52" s="39"/>
      <c r="G52" s="39"/>
      <c r="H52" s="39"/>
      <c r="I52" s="39"/>
      <c r="J52" s="120"/>
      <c r="L52" s="118" t="str">
        <f t="shared" si="12"/>
        <v/>
      </c>
      <c r="M52" s="8" t="str">
        <f t="shared" si="13"/>
        <v/>
      </c>
      <c r="N52" s="8" t="str">
        <f t="shared" si="14"/>
        <v/>
      </c>
      <c r="O52" s="119" t="str">
        <f t="shared" si="15"/>
        <v/>
      </c>
    </row>
    <row r="53" spans="2:15" ht="16" thickBot="1" x14ac:dyDescent="0.25">
      <c r="C53" s="65" t="s">
        <v>186</v>
      </c>
      <c r="D53" s="43"/>
      <c r="E53" s="44"/>
      <c r="F53" s="44"/>
      <c r="G53" s="44"/>
      <c r="H53" s="44"/>
      <c r="I53" s="44"/>
      <c r="J53" s="121"/>
      <c r="L53" s="135" t="str">
        <f t="shared" si="12"/>
        <v/>
      </c>
      <c r="M53" s="136" t="str">
        <f t="shared" si="13"/>
        <v/>
      </c>
      <c r="N53" s="136" t="str">
        <f t="shared" si="14"/>
        <v/>
      </c>
      <c r="O53" s="137" t="str">
        <f t="shared" si="15"/>
        <v/>
      </c>
    </row>
    <row r="54" spans="2:15" ht="16" thickBot="1" x14ac:dyDescent="0.25"/>
    <row r="55" spans="2:15" ht="16" thickBot="1" x14ac:dyDescent="0.25">
      <c r="E55" s="151" t="s">
        <v>120</v>
      </c>
      <c r="F55" s="152"/>
      <c r="G55" s="152"/>
      <c r="H55" s="152"/>
      <c r="I55" s="152"/>
      <c r="J55" s="153"/>
    </row>
    <row r="56" spans="2:15" ht="16" thickBot="1" x14ac:dyDescent="0.25">
      <c r="E56" s="60">
        <v>1</v>
      </c>
      <c r="F56" s="61">
        <v>2</v>
      </c>
      <c r="G56" s="61">
        <v>3</v>
      </c>
      <c r="H56" s="61">
        <v>4</v>
      </c>
      <c r="I56" s="62">
        <v>5</v>
      </c>
      <c r="J56" s="62">
        <v>6</v>
      </c>
    </row>
    <row r="57" spans="2:15" ht="16" thickBot="1" x14ac:dyDescent="0.25">
      <c r="E57" s="117"/>
      <c r="F57" s="117"/>
      <c r="G57" s="117"/>
      <c r="H57" s="117"/>
      <c r="I57" s="117"/>
      <c r="J57" s="117"/>
    </row>
    <row r="58" spans="2:15" x14ac:dyDescent="0.2">
      <c r="B58" s="25"/>
      <c r="C58" s="101" t="s">
        <v>78</v>
      </c>
      <c r="D58" s="111" t="s">
        <v>121</v>
      </c>
      <c r="E58" s="111" t="s">
        <v>10</v>
      </c>
      <c r="F58" s="111" t="s">
        <v>10</v>
      </c>
      <c r="G58" s="111" t="s">
        <v>10</v>
      </c>
      <c r="H58" s="111" t="s">
        <v>10</v>
      </c>
      <c r="I58" s="111" t="s">
        <v>10</v>
      </c>
      <c r="J58" s="112" t="s">
        <v>10</v>
      </c>
    </row>
    <row r="59" spans="2:15" x14ac:dyDescent="0.2">
      <c r="C59" s="64" t="s">
        <v>75</v>
      </c>
      <c r="D59" s="38">
        <v>45880</v>
      </c>
      <c r="E59" s="39">
        <v>4</v>
      </c>
      <c r="F59" s="39">
        <v>5</v>
      </c>
      <c r="G59" s="39">
        <v>6</v>
      </c>
      <c r="H59" s="39">
        <v>7</v>
      </c>
      <c r="I59" s="39"/>
      <c r="J59" s="120"/>
    </row>
    <row r="60" spans="2:15" x14ac:dyDescent="0.2">
      <c r="C60" s="64" t="s">
        <v>76</v>
      </c>
      <c r="D60" s="38">
        <v>45911</v>
      </c>
      <c r="E60" s="39">
        <v>6</v>
      </c>
      <c r="F60" s="39">
        <v>6</v>
      </c>
      <c r="G60" s="39">
        <v>7</v>
      </c>
      <c r="H60" s="39">
        <v>8</v>
      </c>
      <c r="I60" s="39"/>
      <c r="J60" s="120"/>
    </row>
    <row r="61" spans="2:15" x14ac:dyDescent="0.2">
      <c r="C61" s="64" t="s">
        <v>77</v>
      </c>
      <c r="D61" s="38"/>
      <c r="E61" s="39"/>
      <c r="F61" s="39"/>
      <c r="G61" s="39"/>
      <c r="H61" s="39"/>
      <c r="I61" s="39"/>
      <c r="J61" s="120"/>
    </row>
    <row r="62" spans="2:15" x14ac:dyDescent="0.2">
      <c r="C62" s="64" t="s">
        <v>79</v>
      </c>
      <c r="D62" s="38"/>
      <c r="E62" s="39"/>
      <c r="F62" s="39"/>
      <c r="G62" s="39"/>
      <c r="H62" s="39"/>
      <c r="I62" s="39"/>
      <c r="J62" s="120"/>
    </row>
    <row r="63" spans="2:15" x14ac:dyDescent="0.2">
      <c r="C63" s="64" t="s">
        <v>80</v>
      </c>
      <c r="D63" s="38"/>
      <c r="E63" s="39"/>
      <c r="F63" s="39"/>
      <c r="G63" s="39"/>
      <c r="H63" s="39"/>
      <c r="I63" s="39"/>
      <c r="J63" s="120"/>
    </row>
    <row r="64" spans="2:15" x14ac:dyDescent="0.2">
      <c r="C64" s="64" t="s">
        <v>81</v>
      </c>
      <c r="D64" s="38"/>
      <c r="E64" s="39"/>
      <c r="F64" s="39"/>
      <c r="G64" s="39"/>
      <c r="H64" s="39"/>
      <c r="I64" s="39"/>
      <c r="J64" s="120"/>
    </row>
    <row r="65" spans="3:10" x14ac:dyDescent="0.2">
      <c r="C65" s="64" t="s">
        <v>82</v>
      </c>
      <c r="D65" s="38"/>
      <c r="E65" s="39"/>
      <c r="F65" s="39"/>
      <c r="G65" s="39"/>
      <c r="H65" s="39"/>
      <c r="I65" s="39"/>
      <c r="J65" s="120"/>
    </row>
    <row r="66" spans="3:10" x14ac:dyDescent="0.2">
      <c r="C66" s="64" t="s">
        <v>83</v>
      </c>
      <c r="D66" s="38"/>
      <c r="E66" s="39"/>
      <c r="F66" s="39"/>
      <c r="G66" s="39"/>
      <c r="H66" s="39"/>
      <c r="I66" s="39"/>
      <c r="J66" s="120"/>
    </row>
    <row r="67" spans="3:10" x14ac:dyDescent="0.2">
      <c r="C67" s="64" t="s">
        <v>84</v>
      </c>
      <c r="D67" s="38"/>
      <c r="E67" s="39"/>
      <c r="F67" s="39"/>
      <c r="G67" s="39"/>
      <c r="H67" s="39"/>
      <c r="I67" s="39"/>
      <c r="J67" s="120"/>
    </row>
    <row r="68" spans="3:10" x14ac:dyDescent="0.2">
      <c r="C68" s="64" t="s">
        <v>178</v>
      </c>
      <c r="D68" s="38"/>
      <c r="E68" s="39"/>
      <c r="F68" s="39"/>
      <c r="G68" s="39"/>
      <c r="H68" s="39"/>
      <c r="I68" s="39"/>
      <c r="J68" s="120"/>
    </row>
    <row r="69" spans="3:10" x14ac:dyDescent="0.2">
      <c r="C69" s="64" t="s">
        <v>179</v>
      </c>
      <c r="D69" s="38"/>
      <c r="E69" s="39"/>
      <c r="F69" s="39"/>
      <c r="G69" s="39"/>
      <c r="H69" s="39"/>
      <c r="I69" s="39"/>
      <c r="J69" s="120"/>
    </row>
    <row r="70" spans="3:10" x14ac:dyDescent="0.2">
      <c r="C70" s="64" t="s">
        <v>180</v>
      </c>
      <c r="D70" s="38"/>
      <c r="E70" s="39"/>
      <c r="F70" s="39"/>
      <c r="G70" s="39"/>
      <c r="H70" s="39"/>
      <c r="I70" s="39"/>
      <c r="J70" s="120"/>
    </row>
    <row r="71" spans="3:10" x14ac:dyDescent="0.2">
      <c r="C71" s="64" t="s">
        <v>181</v>
      </c>
      <c r="D71" s="38"/>
      <c r="E71" s="39"/>
      <c r="F71" s="39"/>
      <c r="G71" s="39"/>
      <c r="H71" s="39"/>
      <c r="I71" s="39"/>
      <c r="J71" s="120"/>
    </row>
    <row r="72" spans="3:10" x14ac:dyDescent="0.2">
      <c r="C72" s="64" t="s">
        <v>182</v>
      </c>
      <c r="D72" s="38"/>
      <c r="E72" s="39"/>
      <c r="F72" s="39"/>
      <c r="G72" s="39"/>
      <c r="H72" s="39"/>
      <c r="I72" s="39"/>
      <c r="J72" s="120"/>
    </row>
    <row r="73" spans="3:10" x14ac:dyDescent="0.2">
      <c r="C73" s="64" t="s">
        <v>183</v>
      </c>
      <c r="D73" s="38"/>
      <c r="E73" s="39"/>
      <c r="F73" s="39"/>
      <c r="G73" s="39"/>
      <c r="H73" s="39"/>
      <c r="I73" s="39"/>
      <c r="J73" s="120"/>
    </row>
    <row r="74" spans="3:10" x14ac:dyDescent="0.2">
      <c r="C74" s="64" t="s">
        <v>184</v>
      </c>
      <c r="D74" s="38"/>
      <c r="E74" s="39"/>
      <c r="F74" s="39"/>
      <c r="G74" s="39"/>
      <c r="H74" s="39"/>
      <c r="I74" s="39"/>
      <c r="J74" s="120"/>
    </row>
    <row r="75" spans="3:10" x14ac:dyDescent="0.2">
      <c r="C75" s="64" t="s">
        <v>185</v>
      </c>
      <c r="D75" s="38"/>
      <c r="E75" s="39"/>
      <c r="F75" s="39"/>
      <c r="G75" s="39"/>
      <c r="H75" s="39"/>
      <c r="I75" s="39"/>
      <c r="J75" s="120"/>
    </row>
    <row r="76" spans="3:10" ht="16" thickBot="1" x14ac:dyDescent="0.25">
      <c r="C76" s="65" t="s">
        <v>186</v>
      </c>
      <c r="D76" s="43"/>
      <c r="E76" s="44"/>
      <c r="F76" s="44"/>
      <c r="G76" s="44"/>
      <c r="H76" s="44"/>
      <c r="I76" s="44"/>
      <c r="J76" s="121"/>
    </row>
    <row r="77" spans="3:10" ht="16" thickBot="1" x14ac:dyDescent="0.25"/>
    <row r="78" spans="3:10" ht="16" thickBot="1" x14ac:dyDescent="0.25">
      <c r="E78" s="151" t="s">
        <v>133</v>
      </c>
      <c r="F78" s="152"/>
      <c r="G78" s="152"/>
      <c r="H78" s="152"/>
      <c r="I78" s="152"/>
      <c r="J78" s="153"/>
    </row>
    <row r="79" spans="3:10" ht="16" thickBot="1" x14ac:dyDescent="0.25">
      <c r="E79" s="60">
        <v>1</v>
      </c>
      <c r="F79" s="61">
        <v>2</v>
      </c>
      <c r="G79" s="61">
        <v>3</v>
      </c>
      <c r="H79" s="61">
        <v>4</v>
      </c>
      <c r="I79" s="62">
        <v>5</v>
      </c>
      <c r="J79" s="62">
        <v>6</v>
      </c>
    </row>
    <row r="80" spans="3:10" ht="16" thickBot="1" x14ac:dyDescent="0.25">
      <c r="E80" s="117"/>
      <c r="F80" s="117"/>
      <c r="G80" s="117"/>
      <c r="H80" s="117"/>
      <c r="I80" s="117"/>
      <c r="J80" s="117"/>
    </row>
    <row r="81" spans="2:10" x14ac:dyDescent="0.2">
      <c r="B81" s="25"/>
      <c r="C81" s="101" t="s">
        <v>78</v>
      </c>
      <c r="D81" s="111" t="s">
        <v>121</v>
      </c>
      <c r="E81" s="111" t="s">
        <v>10</v>
      </c>
      <c r="F81" s="111" t="s">
        <v>10</v>
      </c>
      <c r="G81" s="111" t="s">
        <v>10</v>
      </c>
      <c r="H81" s="111" t="s">
        <v>10</v>
      </c>
      <c r="I81" s="111" t="s">
        <v>10</v>
      </c>
      <c r="J81" s="112" t="s">
        <v>10</v>
      </c>
    </row>
    <row r="82" spans="2:10" x14ac:dyDescent="0.2">
      <c r="C82" s="64" t="s">
        <v>75</v>
      </c>
      <c r="D82" s="38">
        <v>45880</v>
      </c>
      <c r="E82" s="39">
        <v>4</v>
      </c>
      <c r="F82" s="39">
        <v>5</v>
      </c>
      <c r="G82" s="39">
        <v>6</v>
      </c>
      <c r="H82" s="39">
        <v>7</v>
      </c>
      <c r="I82" s="39"/>
      <c r="J82" s="120"/>
    </row>
    <row r="83" spans="2:10" x14ac:dyDescent="0.2">
      <c r="C83" s="64" t="s">
        <v>76</v>
      </c>
      <c r="D83" s="38">
        <v>45911</v>
      </c>
      <c r="E83" s="39">
        <v>6</v>
      </c>
      <c r="F83" s="39">
        <v>6</v>
      </c>
      <c r="G83" s="39">
        <v>7</v>
      </c>
      <c r="H83" s="39">
        <v>8</v>
      </c>
      <c r="I83" s="39"/>
      <c r="J83" s="120"/>
    </row>
    <row r="84" spans="2:10" x14ac:dyDescent="0.2">
      <c r="C84" s="64" t="s">
        <v>77</v>
      </c>
      <c r="D84" s="38"/>
      <c r="E84" s="39"/>
      <c r="F84" s="39"/>
      <c r="G84" s="39"/>
      <c r="H84" s="39"/>
      <c r="I84" s="39"/>
      <c r="J84" s="120"/>
    </row>
    <row r="85" spans="2:10" x14ac:dyDescent="0.2">
      <c r="C85" s="64" t="s">
        <v>79</v>
      </c>
      <c r="D85" s="38"/>
      <c r="E85" s="39"/>
      <c r="F85" s="39"/>
      <c r="G85" s="39"/>
      <c r="H85" s="39"/>
      <c r="I85" s="39"/>
      <c r="J85" s="120"/>
    </row>
    <row r="86" spans="2:10" x14ac:dyDescent="0.2">
      <c r="C86" s="64" t="s">
        <v>80</v>
      </c>
      <c r="D86" s="38"/>
      <c r="E86" s="39"/>
      <c r="F86" s="39"/>
      <c r="G86" s="39"/>
      <c r="H86" s="39"/>
      <c r="I86" s="39"/>
      <c r="J86" s="120"/>
    </row>
    <row r="87" spans="2:10" x14ac:dyDescent="0.2">
      <c r="C87" s="64" t="s">
        <v>81</v>
      </c>
      <c r="D87" s="38"/>
      <c r="E87" s="39"/>
      <c r="F87" s="39"/>
      <c r="G87" s="39"/>
      <c r="H87" s="39"/>
      <c r="I87" s="39"/>
      <c r="J87" s="120"/>
    </row>
    <row r="88" spans="2:10" x14ac:dyDescent="0.2">
      <c r="C88" s="64" t="s">
        <v>82</v>
      </c>
      <c r="D88" s="38"/>
      <c r="E88" s="39"/>
      <c r="F88" s="39"/>
      <c r="G88" s="39"/>
      <c r="H88" s="39"/>
      <c r="I88" s="39"/>
      <c r="J88" s="120"/>
    </row>
    <row r="89" spans="2:10" x14ac:dyDescent="0.2">
      <c r="C89" s="64" t="s">
        <v>83</v>
      </c>
      <c r="D89" s="38"/>
      <c r="E89" s="39"/>
      <c r="F89" s="39"/>
      <c r="G89" s="39"/>
      <c r="H89" s="39"/>
      <c r="I89" s="39"/>
      <c r="J89" s="120"/>
    </row>
    <row r="90" spans="2:10" x14ac:dyDescent="0.2">
      <c r="C90" s="64" t="s">
        <v>84</v>
      </c>
      <c r="D90" s="38"/>
      <c r="E90" s="39"/>
      <c r="F90" s="39"/>
      <c r="G90" s="39"/>
      <c r="H90" s="39"/>
      <c r="I90" s="39"/>
      <c r="J90" s="120"/>
    </row>
    <row r="91" spans="2:10" x14ac:dyDescent="0.2">
      <c r="C91" s="64" t="s">
        <v>178</v>
      </c>
      <c r="D91" s="38"/>
      <c r="E91" s="39"/>
      <c r="F91" s="39"/>
      <c r="G91" s="39"/>
      <c r="H91" s="39"/>
      <c r="I91" s="39"/>
      <c r="J91" s="120"/>
    </row>
    <row r="92" spans="2:10" x14ac:dyDescent="0.2">
      <c r="C92" s="64" t="s">
        <v>179</v>
      </c>
      <c r="D92" s="38"/>
      <c r="E92" s="39"/>
      <c r="F92" s="39"/>
      <c r="G92" s="39"/>
      <c r="H92" s="39"/>
      <c r="I92" s="39"/>
      <c r="J92" s="120"/>
    </row>
    <row r="93" spans="2:10" x14ac:dyDescent="0.2">
      <c r="C93" s="64" t="s">
        <v>180</v>
      </c>
      <c r="D93" s="38"/>
      <c r="E93" s="39"/>
      <c r="F93" s="39"/>
      <c r="G93" s="39"/>
      <c r="H93" s="39"/>
      <c r="I93" s="39"/>
      <c r="J93" s="120"/>
    </row>
    <row r="94" spans="2:10" x14ac:dyDescent="0.2">
      <c r="C94" s="64" t="s">
        <v>181</v>
      </c>
      <c r="D94" s="38"/>
      <c r="E94" s="39"/>
      <c r="F94" s="39"/>
      <c r="G94" s="39"/>
      <c r="H94" s="39"/>
      <c r="I94" s="39"/>
      <c r="J94" s="120"/>
    </row>
    <row r="95" spans="2:10" x14ac:dyDescent="0.2">
      <c r="C95" s="64" t="s">
        <v>182</v>
      </c>
      <c r="D95" s="38"/>
      <c r="E95" s="39"/>
      <c r="F95" s="39"/>
      <c r="G95" s="39"/>
      <c r="H95" s="39"/>
      <c r="I95" s="39"/>
      <c r="J95" s="120"/>
    </row>
    <row r="96" spans="2:10" x14ac:dyDescent="0.2">
      <c r="C96" s="64" t="s">
        <v>183</v>
      </c>
      <c r="D96" s="38"/>
      <c r="E96" s="39"/>
      <c r="F96" s="39"/>
      <c r="G96" s="39"/>
      <c r="H96" s="39"/>
      <c r="I96" s="39"/>
      <c r="J96" s="120"/>
    </row>
    <row r="97" spans="3:10" x14ac:dyDescent="0.2">
      <c r="C97" s="64" t="s">
        <v>184</v>
      </c>
      <c r="D97" s="38"/>
      <c r="E97" s="39"/>
      <c r="F97" s="39"/>
      <c r="G97" s="39"/>
      <c r="H97" s="39"/>
      <c r="I97" s="39"/>
      <c r="J97" s="120"/>
    </row>
    <row r="98" spans="3:10" x14ac:dyDescent="0.2">
      <c r="C98" s="64" t="s">
        <v>185</v>
      </c>
      <c r="D98" s="38"/>
      <c r="E98" s="39"/>
      <c r="F98" s="39"/>
      <c r="G98" s="39"/>
      <c r="H98" s="39"/>
      <c r="I98" s="39"/>
      <c r="J98" s="120"/>
    </row>
    <row r="99" spans="3:10" ht="16" thickBot="1" x14ac:dyDescent="0.25">
      <c r="C99" s="65" t="s">
        <v>186</v>
      </c>
      <c r="D99" s="43"/>
      <c r="E99" s="44"/>
      <c r="F99" s="44"/>
      <c r="G99" s="44"/>
      <c r="H99" s="44"/>
      <c r="I99" s="44"/>
      <c r="J99" s="121"/>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zoomScaleNormal="100" workbookViewId="0">
      <selection activeCell="F91" sqref="F91"/>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0" width="21.6640625" style="19" customWidth="1"/>
    <col min="11" max="11" width="19.5" style="19" bestFit="1" customWidth="1"/>
    <col min="12" max="12" width="19.8320312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c r="D5" s="25"/>
    </row>
    <row r="6" spans="2:18" ht="16" thickBot="1" x14ac:dyDescent="0.25">
      <c r="C6" s="25" t="s">
        <v>107</v>
      </c>
      <c r="D6" s="28"/>
      <c r="E6" s="27"/>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D12" s="69" t="s">
        <v>14</v>
      </c>
      <c r="E12" s="100">
        <v>0</v>
      </c>
      <c r="F12" s="100"/>
      <c r="G12" s="100"/>
    </row>
    <row r="13" spans="2:18" x14ac:dyDescent="0.2">
      <c r="C13" s="67" t="s">
        <v>15</v>
      </c>
      <c r="D13" s="69" t="s">
        <v>16</v>
      </c>
      <c r="E13" s="100"/>
      <c r="F13" s="100">
        <v>1</v>
      </c>
      <c r="G13" s="100"/>
      <c r="J13" s="25" t="s">
        <v>17</v>
      </c>
    </row>
    <row r="14" spans="2:18" ht="30" x14ac:dyDescent="0.2">
      <c r="C14" s="67" t="s">
        <v>3</v>
      </c>
      <c r="D14" s="69" t="s">
        <v>18</v>
      </c>
      <c r="E14" s="100"/>
      <c r="F14" s="100"/>
      <c r="G14" s="100">
        <v>2</v>
      </c>
      <c r="J14" s="66" t="s">
        <v>2</v>
      </c>
      <c r="K14" s="66" t="s">
        <v>207</v>
      </c>
      <c r="L14" s="66" t="s">
        <v>209</v>
      </c>
      <c r="M14" s="66" t="s">
        <v>19</v>
      </c>
      <c r="N14" s="66" t="s">
        <v>20</v>
      </c>
      <c r="O14" s="158" t="s">
        <v>21</v>
      </c>
      <c r="P14" s="159"/>
      <c r="Q14" s="159"/>
      <c r="R14" s="160"/>
    </row>
    <row r="15" spans="2:18" ht="30" x14ac:dyDescent="0.2">
      <c r="C15" s="67" t="s">
        <v>13</v>
      </c>
      <c r="D15" s="69" t="s">
        <v>22</v>
      </c>
      <c r="E15" s="100"/>
      <c r="F15" s="100"/>
      <c r="G15" s="100">
        <v>2</v>
      </c>
      <c r="J15" s="66" t="s">
        <v>3</v>
      </c>
      <c r="K15" s="126">
        <f>SUM(E14,F14,G14,E19,F19,G19,E27,F27,G27,E24,F24,G24,E35,F35,G35)</f>
        <v>7</v>
      </c>
      <c r="L15" s="125">
        <f>SUM(E47,F47,G47,E52,F52,G52,E60,F60,G60,E57,F57,G57,E68,F68,G68)</f>
        <v>8</v>
      </c>
      <c r="M15" s="126">
        <f>SUM(E78,F78,G78,E83,F83,G83,E91,F91,G91,E88,F88,G88,E99,F99,G99)</f>
        <v>7</v>
      </c>
      <c r="N15" s="126">
        <f>SUM(E108,F108,G108,E113,F113,G113,E118,F118,G118,E121,F121,G121,E129,F129,G129)</f>
        <v>7</v>
      </c>
      <c r="O15" s="79" t="s">
        <v>23</v>
      </c>
      <c r="P15" s="80">
        <v>4</v>
      </c>
      <c r="Q15" s="81" t="s">
        <v>24</v>
      </c>
      <c r="R15" s="82" t="s">
        <v>25</v>
      </c>
    </row>
    <row r="16" spans="2:18" x14ac:dyDescent="0.2">
      <c r="C16" s="67" t="s">
        <v>4</v>
      </c>
      <c r="D16" s="69" t="s">
        <v>26</v>
      </c>
      <c r="E16" s="100"/>
      <c r="F16" s="100">
        <v>1</v>
      </c>
      <c r="G16" s="100"/>
      <c r="J16" s="66" t="s">
        <v>5</v>
      </c>
      <c r="K16" s="126">
        <f>SUM(E17,F17,G17,E22,F22,G22,E25,F25,G25,E30,F30,G30,E34,F34,G34)</f>
        <v>4</v>
      </c>
      <c r="L16" s="125">
        <f>SUM(E50,F50,G50,E55,F55,G55,E58,F58,G58,E63,F63,G63,E67,F67,G67)</f>
        <v>3</v>
      </c>
      <c r="M16" s="126">
        <f>SUM(E81,F81,G81,E86,F86,G86,E89,F89,G89,E94,F94,G94,E98,F98,G98)</f>
        <v>3</v>
      </c>
      <c r="N16" s="126">
        <f>SUM(E111,F111,G111,E116,F116,G116,E119,F119,G119,E124,F124,G124,E128,F128,G128)</f>
        <v>4</v>
      </c>
      <c r="O16" s="79" t="s">
        <v>27</v>
      </c>
      <c r="P16" s="80" t="s">
        <v>28</v>
      </c>
      <c r="Q16" s="81" t="s">
        <v>29</v>
      </c>
      <c r="R16" s="82" t="s">
        <v>30</v>
      </c>
    </row>
    <row r="17" spans="3:18" x14ac:dyDescent="0.2">
      <c r="C17" s="67" t="s">
        <v>5</v>
      </c>
      <c r="D17" s="69" t="s">
        <v>31</v>
      </c>
      <c r="E17" s="100">
        <v>1</v>
      </c>
      <c r="F17" s="100"/>
      <c r="G17" s="100"/>
      <c r="J17" s="66" t="s">
        <v>4</v>
      </c>
      <c r="K17" s="125">
        <f>SUM(E16,F16,G16,E18,F18,G18,E23,F23,G23,E29,F29,G29,E33,F33,G33)</f>
        <v>2</v>
      </c>
      <c r="L17" s="125">
        <f>SUM(E49,F49,G49,E51,F51,G51,E62,F62,G62,E56,F56,G56,E66,F66,G66)</f>
        <v>3</v>
      </c>
      <c r="M17" s="125">
        <f>SUM(E80,F80,G80,E82,F82,G82,E87,F87,G87,E93,F93,G93,E97,F97,G97)</f>
        <v>6</v>
      </c>
      <c r="N17" s="126">
        <f>SUM(E110,F110,G110,E112,F112,G112,E117,F117,G117,E123,F123,G123,E127,F127,G127)</f>
        <v>5</v>
      </c>
      <c r="O17" s="79" t="s">
        <v>27</v>
      </c>
      <c r="P17" s="80" t="s">
        <v>28</v>
      </c>
      <c r="Q17" s="81" t="s">
        <v>32</v>
      </c>
      <c r="R17" s="82" t="s">
        <v>33</v>
      </c>
    </row>
    <row r="18" spans="3:18" x14ac:dyDescent="0.2">
      <c r="C18" s="67" t="s">
        <v>4</v>
      </c>
      <c r="D18" s="75" t="s">
        <v>34</v>
      </c>
      <c r="E18" s="100"/>
      <c r="F18" s="100">
        <v>1</v>
      </c>
      <c r="G18" s="100"/>
      <c r="J18" s="66" t="s">
        <v>15</v>
      </c>
      <c r="K18" s="125">
        <f>SUM(E13,F13,G13,E21,F21,G21,E26,F26,G26,E32,F32,G32,E36,F36,G36)</f>
        <v>7</v>
      </c>
      <c r="L18" s="125">
        <f>SUM(E46,F46,G46,E54,F54,G54,E65,F65,G65,E59,F59,G59,E69,F69,G69)</f>
        <v>7</v>
      </c>
      <c r="M18" s="125">
        <f>SUM(E77,F77,G77,E85,F85,G85,E90,F90,G90,E96,F96,G96,E100,F100,G100)</f>
        <v>8</v>
      </c>
      <c r="N18" s="126">
        <f>SUM(E107,F107,G107,E115,F115,G115,E120,F120,G120,E126,F126,G126,E130,F130,G130)</f>
        <v>7</v>
      </c>
      <c r="O18" s="79" t="s">
        <v>35</v>
      </c>
      <c r="P18" s="80" t="s">
        <v>36</v>
      </c>
      <c r="Q18" s="81" t="s">
        <v>37</v>
      </c>
      <c r="R18" s="82" t="s">
        <v>38</v>
      </c>
    </row>
    <row r="19" spans="3:18" x14ac:dyDescent="0.2">
      <c r="C19" s="67" t="s">
        <v>3</v>
      </c>
      <c r="D19" s="69" t="s">
        <v>39</v>
      </c>
      <c r="E19" s="100"/>
      <c r="F19" s="100">
        <v>1</v>
      </c>
      <c r="G19" s="100"/>
      <c r="J19" s="66" t="s">
        <v>40</v>
      </c>
      <c r="K19" s="125">
        <f>SUM(K15:K18)</f>
        <v>20</v>
      </c>
      <c r="L19" s="125">
        <f>SUM(L15:L18)</f>
        <v>21</v>
      </c>
      <c r="M19" s="125">
        <f>SUM(M15:M18)</f>
        <v>24</v>
      </c>
      <c r="N19" s="126">
        <f>SUM(N15:N18)</f>
        <v>23</v>
      </c>
      <c r="O19" s="79" t="s">
        <v>41</v>
      </c>
      <c r="P19" s="80" t="s">
        <v>42</v>
      </c>
      <c r="Q19" s="81" t="s">
        <v>43</v>
      </c>
      <c r="R19" s="82" t="s">
        <v>44</v>
      </c>
    </row>
    <row r="20" spans="3:18" x14ac:dyDescent="0.2">
      <c r="C20" s="67" t="s">
        <v>13</v>
      </c>
      <c r="D20" s="69" t="s">
        <v>45</v>
      </c>
      <c r="E20" s="100"/>
      <c r="F20" s="100"/>
      <c r="G20" s="100">
        <v>2</v>
      </c>
      <c r="J20" s="66" t="s">
        <v>46</v>
      </c>
      <c r="K20" s="125">
        <f>SUM(K15+K16)</f>
        <v>11</v>
      </c>
      <c r="L20" s="125">
        <f>SUM(L15+L16)</f>
        <v>11</v>
      </c>
      <c r="M20" s="125">
        <f>SUM(M15+M16)</f>
        <v>10</v>
      </c>
      <c r="N20" s="125">
        <f>SUM(N15+N16)</f>
        <v>11</v>
      </c>
      <c r="O20" s="79" t="s">
        <v>23</v>
      </c>
      <c r="P20" s="80" t="s">
        <v>47</v>
      </c>
      <c r="Q20" s="81" t="s">
        <v>48</v>
      </c>
      <c r="R20" s="82" t="s">
        <v>49</v>
      </c>
    </row>
    <row r="21" spans="3:18" x14ac:dyDescent="0.2">
      <c r="C21" s="67" t="s">
        <v>15</v>
      </c>
      <c r="D21" s="69" t="s">
        <v>50</v>
      </c>
      <c r="E21" s="100"/>
      <c r="F21" s="100"/>
      <c r="G21" s="100">
        <v>2</v>
      </c>
      <c r="J21" s="66" t="s">
        <v>51</v>
      </c>
      <c r="K21" s="125">
        <f>SUM(K17+K18)</f>
        <v>9</v>
      </c>
      <c r="L21" s="125">
        <f>SUM(L17+L18)</f>
        <v>10</v>
      </c>
      <c r="M21" s="125">
        <f>SUM(M17+M18)</f>
        <v>14</v>
      </c>
      <c r="N21" s="125">
        <f>SUM(N17+N18)</f>
        <v>12</v>
      </c>
      <c r="O21" s="79" t="s">
        <v>52</v>
      </c>
      <c r="P21" s="80" t="s">
        <v>48</v>
      </c>
      <c r="Q21" s="81" t="s">
        <v>53</v>
      </c>
      <c r="R21" s="82" t="s">
        <v>54</v>
      </c>
    </row>
    <row r="22" spans="3:18" x14ac:dyDescent="0.2">
      <c r="C22" s="67" t="s">
        <v>5</v>
      </c>
      <c r="D22" s="75" t="s">
        <v>55</v>
      </c>
      <c r="E22" s="100">
        <v>2</v>
      </c>
      <c r="F22" s="100"/>
      <c r="G22" s="100"/>
      <c r="J22" s="76" t="s">
        <v>56</v>
      </c>
      <c r="K22" s="76"/>
      <c r="L22" s="76"/>
      <c r="M22" s="76"/>
      <c r="N22" s="76"/>
      <c r="O22" s="71" t="s">
        <v>23</v>
      </c>
      <c r="P22" s="72" t="s">
        <v>29</v>
      </c>
      <c r="Q22" s="73" t="s">
        <v>24</v>
      </c>
      <c r="R22" s="74" t="s">
        <v>25</v>
      </c>
    </row>
    <row r="23" spans="3:18" x14ac:dyDescent="0.2">
      <c r="C23" s="67" t="s">
        <v>4</v>
      </c>
      <c r="D23" s="69" t="s">
        <v>57</v>
      </c>
      <c r="E23" s="100">
        <v>0</v>
      </c>
      <c r="F23" s="100"/>
      <c r="G23" s="100"/>
      <c r="J23" s="66"/>
      <c r="K23" s="67"/>
      <c r="L23" s="67"/>
      <c r="M23" s="67"/>
      <c r="N23" s="67"/>
      <c r="O23" s="77"/>
      <c r="P23" s="77"/>
      <c r="Q23" s="77"/>
      <c r="R23" s="77"/>
    </row>
    <row r="24" spans="3:18" x14ac:dyDescent="0.2">
      <c r="C24" s="67" t="s">
        <v>3</v>
      </c>
      <c r="D24" s="69" t="s">
        <v>58</v>
      </c>
      <c r="E24" s="100">
        <v>1</v>
      </c>
      <c r="F24" s="100"/>
      <c r="G24" s="100"/>
      <c r="J24" s="66" t="s">
        <v>13</v>
      </c>
      <c r="K24" s="125">
        <f>SUM(E12,F12,G12,E15,F15,G15,E20,F20,G20,E28,F28,G28,E31,F31,G31)</f>
        <v>6</v>
      </c>
      <c r="L24" s="125">
        <f>SUM(E45,F45,G45,E48,F48,G48,E53,F53,G53,E61,F61,G61,E64,F64,G64)</f>
        <v>6</v>
      </c>
      <c r="M24" s="126">
        <f>SUM(E76,F76,G76,E79,F79,G79,E84,F84,G84,E92,F92,G92,E95,F95,G95)</f>
        <v>6</v>
      </c>
      <c r="N24" s="126">
        <f>SUM(E106,F106,G106,E109,F109,G109,E114,F114,G114,E122,F122,G122,E125,F125,G125)</f>
        <v>6</v>
      </c>
      <c r="O24" s="79" t="s">
        <v>48</v>
      </c>
      <c r="P24" s="80" t="s">
        <v>59</v>
      </c>
      <c r="Q24" s="81" t="s">
        <v>60</v>
      </c>
      <c r="R24" s="82" t="s">
        <v>35</v>
      </c>
    </row>
    <row r="25" spans="3:18" x14ac:dyDescent="0.2">
      <c r="C25" s="67" t="s">
        <v>5</v>
      </c>
      <c r="D25" s="75" t="s">
        <v>61</v>
      </c>
      <c r="E25" s="100"/>
      <c r="F25" s="100">
        <v>1</v>
      </c>
      <c r="G25" s="100"/>
    </row>
    <row r="26" spans="3:18" x14ac:dyDescent="0.2">
      <c r="C26" s="67" t="s">
        <v>15</v>
      </c>
      <c r="D26" s="69" t="s">
        <v>62</v>
      </c>
      <c r="E26" s="100"/>
      <c r="F26" s="100"/>
      <c r="G26" s="100">
        <v>2</v>
      </c>
    </row>
    <row r="27" spans="3:18" ht="30" x14ac:dyDescent="0.2">
      <c r="C27" s="67" t="s">
        <v>3</v>
      </c>
      <c r="D27" s="69" t="s">
        <v>63</v>
      </c>
      <c r="E27" s="100"/>
      <c r="F27" s="100">
        <v>1</v>
      </c>
      <c r="G27" s="100"/>
    </row>
    <row r="28" spans="3:18" x14ac:dyDescent="0.2">
      <c r="C28" s="67" t="s">
        <v>13</v>
      </c>
      <c r="D28" s="69" t="s">
        <v>64</v>
      </c>
      <c r="E28" s="100"/>
      <c r="F28" s="100">
        <v>1</v>
      </c>
      <c r="G28" s="100"/>
    </row>
    <row r="29" spans="3:18" x14ac:dyDescent="0.2">
      <c r="C29" s="67" t="s">
        <v>4</v>
      </c>
      <c r="D29" s="69" t="s">
        <v>65</v>
      </c>
      <c r="E29" s="100">
        <v>0</v>
      </c>
      <c r="F29" s="100"/>
      <c r="G29" s="100"/>
    </row>
    <row r="30" spans="3:18" x14ac:dyDescent="0.2">
      <c r="C30" s="67" t="s">
        <v>5</v>
      </c>
      <c r="D30" s="69" t="s">
        <v>66</v>
      </c>
      <c r="E30" s="100">
        <v>0</v>
      </c>
      <c r="F30" s="100"/>
      <c r="G30" s="100"/>
    </row>
    <row r="31" spans="3:18" ht="30" x14ac:dyDescent="0.2">
      <c r="C31" s="67" t="s">
        <v>13</v>
      </c>
      <c r="D31" s="69" t="s">
        <v>67</v>
      </c>
      <c r="E31" s="100"/>
      <c r="F31" s="100">
        <v>1</v>
      </c>
      <c r="G31" s="100"/>
    </row>
    <row r="32" spans="3:18" x14ac:dyDescent="0.2">
      <c r="C32" s="67" t="s">
        <v>15</v>
      </c>
      <c r="D32" s="75" t="s">
        <v>68</v>
      </c>
      <c r="E32" s="100">
        <v>2</v>
      </c>
      <c r="F32" s="100"/>
      <c r="G32" s="100"/>
    </row>
    <row r="33" spans="2:17" x14ac:dyDescent="0.2">
      <c r="C33" s="67" t="s">
        <v>4</v>
      </c>
      <c r="D33" s="69" t="s">
        <v>69</v>
      </c>
      <c r="E33" s="100">
        <v>0</v>
      </c>
      <c r="F33" s="100"/>
      <c r="G33" s="100"/>
    </row>
    <row r="34" spans="2:17" x14ac:dyDescent="0.2">
      <c r="C34" s="67" t="s">
        <v>5</v>
      </c>
      <c r="D34" s="69" t="s">
        <v>70</v>
      </c>
      <c r="E34" s="100">
        <v>0</v>
      </c>
      <c r="F34" s="100"/>
      <c r="G34" s="100"/>
    </row>
    <row r="35" spans="2:17" x14ac:dyDescent="0.2">
      <c r="C35" s="67" t="s">
        <v>3</v>
      </c>
      <c r="D35" s="69" t="s">
        <v>71</v>
      </c>
      <c r="E35" s="100"/>
      <c r="F35" s="100"/>
      <c r="G35" s="100">
        <v>2</v>
      </c>
    </row>
    <row r="36" spans="2:17" x14ac:dyDescent="0.2">
      <c r="C36" s="67" t="s">
        <v>15</v>
      </c>
      <c r="D36" s="75" t="s">
        <v>72</v>
      </c>
      <c r="E36" s="100"/>
      <c r="F36" s="100"/>
      <c r="G36" s="100">
        <v>0</v>
      </c>
    </row>
    <row r="40" spans="2:17" ht="16" thickBot="1" x14ac:dyDescent="0.25">
      <c r="C40" s="25"/>
    </row>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v>0</v>
      </c>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Incomplete</v>
      </c>
      <c r="N47" s="161"/>
      <c r="O47" s="161"/>
      <c r="P47" s="161"/>
      <c r="Q47" s="78"/>
    </row>
    <row r="48" spans="2:17" ht="31" thickBot="1" x14ac:dyDescent="0.25">
      <c r="C48" s="67" t="s">
        <v>13</v>
      </c>
      <c r="D48" s="69" t="s">
        <v>22</v>
      </c>
      <c r="E48" s="100"/>
      <c r="F48" s="100"/>
      <c r="G48" s="100">
        <v>2</v>
      </c>
      <c r="J48" s="105" t="s">
        <v>164</v>
      </c>
      <c r="K48" s="106" t="str" cm="1">
        <f t="array" ref="K48">_xlfn.LET(
  _xlpm.dataRange, E106:G130,
  _xlpm.rowCounts, _xlfn.BYROW(_xlpm.dataRange, _xlfn.LAMBDA(_xlpm.row, COUNTA(_xlpm.row))),
  _xlpm.valid, AND(_xlpm.rowCounts=1),
  IF(COUNTA(_xlpm.dataRange)=0, "", IF(_xlpm.valid, "Complete", "Incomplete"))
)</f>
        <v>Incomplete</v>
      </c>
    </row>
    <row r="49" spans="3:7" x14ac:dyDescent="0.2">
      <c r="C49" s="67" t="s">
        <v>4</v>
      </c>
      <c r="D49" s="69" t="s">
        <v>26</v>
      </c>
      <c r="E49" s="100"/>
      <c r="F49" s="100">
        <v>1</v>
      </c>
      <c r="G49" s="100"/>
    </row>
    <row r="50" spans="3:7" x14ac:dyDescent="0.2">
      <c r="C50" s="67" t="s">
        <v>5</v>
      </c>
      <c r="D50" s="69" t="s">
        <v>31</v>
      </c>
      <c r="E50" s="100">
        <v>1</v>
      </c>
      <c r="F50" s="100"/>
      <c r="G50" s="100"/>
    </row>
    <row r="51" spans="3:7" x14ac:dyDescent="0.2">
      <c r="C51" s="67" t="s">
        <v>4</v>
      </c>
      <c r="D51" s="75" t="s">
        <v>34</v>
      </c>
      <c r="E51" s="100"/>
      <c r="F51" s="100">
        <v>1</v>
      </c>
      <c r="G51" s="100"/>
    </row>
    <row r="52" spans="3:7" x14ac:dyDescent="0.2">
      <c r="C52" s="67" t="s">
        <v>3</v>
      </c>
      <c r="D52" s="69" t="s">
        <v>39</v>
      </c>
      <c r="E52" s="100"/>
      <c r="F52" s="100">
        <v>1</v>
      </c>
      <c r="G52" s="100"/>
    </row>
    <row r="53" spans="3:7" x14ac:dyDescent="0.2">
      <c r="C53" s="67" t="s">
        <v>13</v>
      </c>
      <c r="D53" s="69" t="s">
        <v>45</v>
      </c>
      <c r="E53" s="100"/>
      <c r="F53" s="100"/>
      <c r="G53" s="100">
        <v>2</v>
      </c>
    </row>
    <row r="54" spans="3:7" x14ac:dyDescent="0.2">
      <c r="C54" s="67" t="s">
        <v>15</v>
      </c>
      <c r="D54" s="69" t="s">
        <v>50</v>
      </c>
      <c r="E54" s="100"/>
      <c r="F54" s="100"/>
      <c r="G54" s="100">
        <v>2</v>
      </c>
    </row>
    <row r="55" spans="3:7" x14ac:dyDescent="0.2">
      <c r="C55" s="67" t="s">
        <v>5</v>
      </c>
      <c r="D55" s="75" t="s">
        <v>55</v>
      </c>
      <c r="E55" s="100"/>
      <c r="F55" s="100">
        <v>1</v>
      </c>
      <c r="G55" s="100"/>
    </row>
    <row r="56" spans="3:7" x14ac:dyDescent="0.2">
      <c r="C56" s="67" t="s">
        <v>4</v>
      </c>
      <c r="D56" s="69" t="s">
        <v>57</v>
      </c>
      <c r="E56" s="100"/>
      <c r="F56" s="100">
        <v>1</v>
      </c>
      <c r="G56" s="100"/>
    </row>
    <row r="57" spans="3:7" x14ac:dyDescent="0.2">
      <c r="C57" s="67" t="s">
        <v>3</v>
      </c>
      <c r="D57" s="69" t="s">
        <v>58</v>
      </c>
      <c r="E57" s="100"/>
      <c r="F57" s="100"/>
      <c r="G57" s="100">
        <v>2</v>
      </c>
    </row>
    <row r="58" spans="3:7" x14ac:dyDescent="0.2">
      <c r="C58" s="67" t="s">
        <v>5</v>
      </c>
      <c r="D58" s="75" t="s">
        <v>61</v>
      </c>
      <c r="E58" s="100"/>
      <c r="F58" s="100">
        <v>1</v>
      </c>
      <c r="G58" s="100"/>
    </row>
    <row r="59" spans="3:7" x14ac:dyDescent="0.2">
      <c r="C59" s="67" t="s">
        <v>15</v>
      </c>
      <c r="D59" s="69" t="s">
        <v>62</v>
      </c>
      <c r="E59" s="100"/>
      <c r="F59" s="100"/>
      <c r="G59" s="100">
        <v>2</v>
      </c>
    </row>
    <row r="60" spans="3:7" ht="30" x14ac:dyDescent="0.2">
      <c r="C60" s="67" t="s">
        <v>3</v>
      </c>
      <c r="D60" s="69" t="s">
        <v>63</v>
      </c>
      <c r="E60" s="100"/>
      <c r="F60" s="100">
        <v>1</v>
      </c>
      <c r="G60" s="100"/>
    </row>
    <row r="61" spans="3:7" x14ac:dyDescent="0.2">
      <c r="C61" s="67" t="s">
        <v>13</v>
      </c>
      <c r="D61" s="69" t="s">
        <v>64</v>
      </c>
      <c r="E61" s="100"/>
      <c r="F61" s="100">
        <v>1</v>
      </c>
      <c r="G61" s="100"/>
    </row>
    <row r="62" spans="3:7" x14ac:dyDescent="0.2">
      <c r="C62" s="67" t="s">
        <v>4</v>
      </c>
      <c r="D62" s="69" t="s">
        <v>65</v>
      </c>
      <c r="E62" s="100">
        <v>0</v>
      </c>
      <c r="F62" s="100"/>
      <c r="G62" s="100"/>
    </row>
    <row r="63" spans="3:7" x14ac:dyDescent="0.2">
      <c r="C63" s="67" t="s">
        <v>5</v>
      </c>
      <c r="D63" s="69" t="s">
        <v>66</v>
      </c>
      <c r="E63" s="100">
        <v>0</v>
      </c>
      <c r="F63" s="100"/>
      <c r="G63" s="100"/>
    </row>
    <row r="64" spans="3:7" ht="30" x14ac:dyDescent="0.2">
      <c r="C64" s="67" t="s">
        <v>13</v>
      </c>
      <c r="D64" s="69" t="s">
        <v>67</v>
      </c>
      <c r="E64" s="100"/>
      <c r="F64" s="100">
        <v>1</v>
      </c>
      <c r="G64" s="100"/>
    </row>
    <row r="65" spans="3:17" x14ac:dyDescent="0.2">
      <c r="C65" s="67" t="s">
        <v>15</v>
      </c>
      <c r="D65" s="75" t="s">
        <v>68</v>
      </c>
      <c r="E65" s="100">
        <v>2</v>
      </c>
      <c r="F65" s="100"/>
      <c r="G65" s="100"/>
    </row>
    <row r="66" spans="3:17" x14ac:dyDescent="0.2">
      <c r="C66" s="67" t="s">
        <v>4</v>
      </c>
      <c r="D66" s="69" t="s">
        <v>69</v>
      </c>
      <c r="E66" s="100">
        <v>0</v>
      </c>
      <c r="F66" s="100"/>
      <c r="G66" s="100"/>
    </row>
    <row r="67" spans="3:17" x14ac:dyDescent="0.2">
      <c r="C67" s="67" t="s">
        <v>5</v>
      </c>
      <c r="D67" s="69" t="s">
        <v>70</v>
      </c>
      <c r="E67" s="100">
        <v>0</v>
      </c>
      <c r="F67" s="100"/>
      <c r="G67" s="100"/>
    </row>
    <row r="68" spans="3:17" x14ac:dyDescent="0.2">
      <c r="C68" s="67" t="s">
        <v>3</v>
      </c>
      <c r="D68" s="69" t="s">
        <v>71</v>
      </c>
      <c r="E68" s="100"/>
      <c r="F68" s="100"/>
      <c r="G68" s="100">
        <v>2</v>
      </c>
    </row>
    <row r="69" spans="3:17" x14ac:dyDescent="0.2">
      <c r="C69" s="67" t="s">
        <v>15</v>
      </c>
      <c r="D69" s="75" t="s">
        <v>72</v>
      </c>
      <c r="E69" s="100"/>
      <c r="F69" s="100"/>
      <c r="G69" s="100">
        <v>0</v>
      </c>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v>0</v>
      </c>
      <c r="F76" s="100"/>
      <c r="G76" s="100"/>
    </row>
    <row r="77" spans="3:17" x14ac:dyDescent="0.2">
      <c r="C77" s="67" t="s">
        <v>15</v>
      </c>
      <c r="D77" s="69" t="s">
        <v>16</v>
      </c>
      <c r="E77" s="100"/>
      <c r="F77" s="100">
        <v>1</v>
      </c>
      <c r="G77" s="100"/>
      <c r="J77" s="25"/>
    </row>
    <row r="78" spans="3:17" ht="30" x14ac:dyDescent="0.2">
      <c r="C78" s="67" t="s">
        <v>3</v>
      </c>
      <c r="D78" s="69" t="s">
        <v>18</v>
      </c>
      <c r="E78" s="100"/>
      <c r="F78" s="100"/>
      <c r="G78" s="100">
        <v>2</v>
      </c>
      <c r="N78" s="161"/>
      <c r="O78" s="161"/>
      <c r="P78" s="161"/>
      <c r="Q78" s="78"/>
    </row>
    <row r="79" spans="3:17" ht="30" x14ac:dyDescent="0.2">
      <c r="C79" s="67" t="s">
        <v>13</v>
      </c>
      <c r="D79" s="69" t="s">
        <v>22</v>
      </c>
      <c r="E79" s="100"/>
      <c r="F79" s="100"/>
      <c r="G79" s="100">
        <v>2</v>
      </c>
    </row>
    <row r="80" spans="3:17" x14ac:dyDescent="0.2">
      <c r="C80" s="67" t="s">
        <v>4</v>
      </c>
      <c r="D80" s="69" t="s">
        <v>26</v>
      </c>
      <c r="E80" s="100"/>
      <c r="F80" s="100">
        <v>1</v>
      </c>
      <c r="G80" s="100"/>
    </row>
    <row r="81" spans="3:7" x14ac:dyDescent="0.2">
      <c r="C81" s="67" t="s">
        <v>5</v>
      </c>
      <c r="D81" s="69" t="s">
        <v>31</v>
      </c>
      <c r="E81" s="100">
        <v>1</v>
      </c>
      <c r="F81" s="100"/>
      <c r="G81" s="100"/>
    </row>
    <row r="82" spans="3:7" x14ac:dyDescent="0.2">
      <c r="C82" s="67" t="s">
        <v>4</v>
      </c>
      <c r="D82" s="75" t="s">
        <v>34</v>
      </c>
      <c r="E82" s="100"/>
      <c r="F82" s="100">
        <v>1</v>
      </c>
      <c r="G82" s="100"/>
    </row>
    <row r="83" spans="3:7" x14ac:dyDescent="0.2">
      <c r="C83" s="67" t="s">
        <v>3</v>
      </c>
      <c r="D83" s="69" t="s">
        <v>39</v>
      </c>
      <c r="E83" s="100"/>
      <c r="F83" s="100">
        <v>1</v>
      </c>
      <c r="G83" s="100"/>
    </row>
    <row r="84" spans="3:7" x14ac:dyDescent="0.2">
      <c r="C84" s="67" t="s">
        <v>13</v>
      </c>
      <c r="D84" s="69" t="s">
        <v>45</v>
      </c>
      <c r="E84" s="100"/>
      <c r="F84" s="100"/>
      <c r="G84" s="100">
        <v>2</v>
      </c>
    </row>
    <row r="85" spans="3:7" x14ac:dyDescent="0.2">
      <c r="C85" s="67" t="s">
        <v>15</v>
      </c>
      <c r="D85" s="69" t="s">
        <v>50</v>
      </c>
      <c r="E85" s="100"/>
      <c r="F85" s="100"/>
      <c r="G85" s="100">
        <v>2</v>
      </c>
    </row>
    <row r="86" spans="3:7" x14ac:dyDescent="0.2">
      <c r="C86" s="67" t="s">
        <v>5</v>
      </c>
      <c r="D86" s="75" t="s">
        <v>55</v>
      </c>
      <c r="E86" s="100"/>
      <c r="F86" s="100">
        <v>1</v>
      </c>
      <c r="G86" s="100"/>
    </row>
    <row r="87" spans="3:7" x14ac:dyDescent="0.2">
      <c r="C87" s="67" t="s">
        <v>4</v>
      </c>
      <c r="D87" s="69" t="s">
        <v>57</v>
      </c>
      <c r="E87" s="100"/>
      <c r="F87" s="100">
        <v>1</v>
      </c>
      <c r="G87" s="100"/>
    </row>
    <row r="88" spans="3:7" x14ac:dyDescent="0.2">
      <c r="C88" s="67" t="s">
        <v>3</v>
      </c>
      <c r="D88" s="69" t="s">
        <v>58</v>
      </c>
      <c r="E88" s="100"/>
      <c r="F88" s="100"/>
      <c r="G88" s="100">
        <v>2</v>
      </c>
    </row>
    <row r="89" spans="3:7" x14ac:dyDescent="0.2">
      <c r="C89" s="67" t="s">
        <v>5</v>
      </c>
      <c r="D89" s="75" t="s">
        <v>61</v>
      </c>
      <c r="E89" s="100"/>
      <c r="F89" s="100">
        <v>1</v>
      </c>
      <c r="G89" s="100"/>
    </row>
    <row r="90" spans="3:7" x14ac:dyDescent="0.2">
      <c r="C90" s="67" t="s">
        <v>15</v>
      </c>
      <c r="D90" s="69" t="s">
        <v>62</v>
      </c>
      <c r="E90" s="100"/>
      <c r="F90" s="100"/>
      <c r="G90" s="100">
        <v>2</v>
      </c>
    </row>
    <row r="91" spans="3:7" ht="30" x14ac:dyDescent="0.2">
      <c r="C91" s="67" t="s">
        <v>3</v>
      </c>
      <c r="D91" s="69" t="s">
        <v>63</v>
      </c>
      <c r="E91" s="100"/>
      <c r="F91" s="100">
        <v>1</v>
      </c>
      <c r="G91" s="100"/>
    </row>
    <row r="92" spans="3:7" x14ac:dyDescent="0.2">
      <c r="C92" s="67" t="s">
        <v>13</v>
      </c>
      <c r="D92" s="69" t="s">
        <v>64</v>
      </c>
      <c r="E92" s="100"/>
      <c r="F92" s="100">
        <v>1</v>
      </c>
      <c r="G92" s="100"/>
    </row>
    <row r="93" spans="3:7" x14ac:dyDescent="0.2">
      <c r="C93" s="67" t="s">
        <v>4</v>
      </c>
      <c r="D93" s="69" t="s">
        <v>65</v>
      </c>
      <c r="E93" s="100">
        <v>0</v>
      </c>
      <c r="F93" s="100"/>
      <c r="G93" s="100"/>
    </row>
    <row r="94" spans="3:7" x14ac:dyDescent="0.2">
      <c r="C94" s="67" t="s">
        <v>5</v>
      </c>
      <c r="D94" s="69" t="s">
        <v>66</v>
      </c>
      <c r="E94" s="100">
        <v>0</v>
      </c>
      <c r="F94" s="100"/>
      <c r="G94" s="100"/>
    </row>
    <row r="95" spans="3:7" ht="30" x14ac:dyDescent="0.2">
      <c r="C95" s="67" t="s">
        <v>13</v>
      </c>
      <c r="D95" s="69" t="s">
        <v>67</v>
      </c>
      <c r="E95" s="100"/>
      <c r="F95" s="100">
        <v>1</v>
      </c>
      <c r="G95" s="100"/>
    </row>
    <row r="96" spans="3:7" x14ac:dyDescent="0.2">
      <c r="C96" s="67" t="s">
        <v>15</v>
      </c>
      <c r="D96" s="75" t="s">
        <v>68</v>
      </c>
      <c r="E96" s="100"/>
      <c r="F96" s="100">
        <v>1</v>
      </c>
      <c r="G96" s="100"/>
    </row>
    <row r="97" spans="3:7" x14ac:dyDescent="0.2">
      <c r="C97" s="67" t="s">
        <v>4</v>
      </c>
      <c r="D97" s="69" t="s">
        <v>69</v>
      </c>
      <c r="E97" s="100"/>
      <c r="F97" s="100">
        <v>1</v>
      </c>
      <c r="G97" s="100">
        <v>2</v>
      </c>
    </row>
    <row r="98" spans="3:7" x14ac:dyDescent="0.2">
      <c r="C98" s="67" t="s">
        <v>5</v>
      </c>
      <c r="D98" s="69" t="s">
        <v>70</v>
      </c>
      <c r="E98" s="100">
        <v>0</v>
      </c>
      <c r="F98" s="100"/>
      <c r="G98" s="100"/>
    </row>
    <row r="99" spans="3:7" x14ac:dyDescent="0.2">
      <c r="C99" s="67" t="s">
        <v>3</v>
      </c>
      <c r="D99" s="69" t="s">
        <v>71</v>
      </c>
      <c r="E99" s="100"/>
      <c r="F99" s="100">
        <v>1</v>
      </c>
      <c r="G99" s="100"/>
    </row>
    <row r="100" spans="3:7" x14ac:dyDescent="0.2">
      <c r="C100" s="67" t="s">
        <v>15</v>
      </c>
      <c r="D100" s="75" t="s">
        <v>72</v>
      </c>
      <c r="E100" s="100">
        <v>2</v>
      </c>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v>0</v>
      </c>
      <c r="F106" s="100"/>
      <c r="G106" s="100"/>
    </row>
    <row r="107" spans="3:7" x14ac:dyDescent="0.2">
      <c r="C107" s="67" t="s">
        <v>15</v>
      </c>
      <c r="D107" s="69" t="s">
        <v>16</v>
      </c>
      <c r="E107" s="100"/>
      <c r="F107" s="100">
        <v>1</v>
      </c>
      <c r="G107" s="100"/>
    </row>
    <row r="108" spans="3:7" ht="30" x14ac:dyDescent="0.2">
      <c r="C108" s="67" t="s">
        <v>3</v>
      </c>
      <c r="D108" s="69" t="s">
        <v>18</v>
      </c>
      <c r="E108" s="100"/>
      <c r="F108" s="100"/>
      <c r="G108" s="100">
        <v>2</v>
      </c>
    </row>
    <row r="109" spans="3:7" ht="30" x14ac:dyDescent="0.2">
      <c r="C109" s="67" t="s">
        <v>13</v>
      </c>
      <c r="D109" s="69" t="s">
        <v>22</v>
      </c>
      <c r="E109" s="100"/>
      <c r="F109" s="100"/>
      <c r="G109" s="100">
        <v>2</v>
      </c>
    </row>
    <row r="110" spans="3:7" x14ac:dyDescent="0.2">
      <c r="C110" s="67" t="s">
        <v>4</v>
      </c>
      <c r="D110" s="69" t="s">
        <v>26</v>
      </c>
      <c r="E110" s="100">
        <v>0</v>
      </c>
      <c r="F110" s="100"/>
      <c r="G110" s="100"/>
    </row>
    <row r="111" spans="3:7" x14ac:dyDescent="0.2">
      <c r="C111" s="67" t="s">
        <v>5</v>
      </c>
      <c r="D111" s="69" t="s">
        <v>31</v>
      </c>
      <c r="E111" s="100"/>
      <c r="F111" s="100">
        <v>1</v>
      </c>
      <c r="G111" s="100"/>
    </row>
    <row r="112" spans="3:7" x14ac:dyDescent="0.2">
      <c r="C112" s="67" t="s">
        <v>4</v>
      </c>
      <c r="D112" s="75" t="s">
        <v>34</v>
      </c>
      <c r="E112" s="100"/>
      <c r="F112" s="100">
        <v>1</v>
      </c>
      <c r="G112" s="100"/>
    </row>
    <row r="113" spans="3:7" x14ac:dyDescent="0.2">
      <c r="C113" s="67" t="s">
        <v>3</v>
      </c>
      <c r="D113" s="69" t="s">
        <v>39</v>
      </c>
      <c r="E113" s="100"/>
      <c r="F113" s="100">
        <v>1</v>
      </c>
      <c r="G113" s="100"/>
    </row>
    <row r="114" spans="3:7" x14ac:dyDescent="0.2">
      <c r="C114" s="67" t="s">
        <v>13</v>
      </c>
      <c r="D114" s="69" t="s">
        <v>45</v>
      </c>
      <c r="E114" s="100"/>
      <c r="F114" s="100"/>
      <c r="G114" s="100">
        <v>2</v>
      </c>
    </row>
    <row r="115" spans="3:7" x14ac:dyDescent="0.2">
      <c r="C115" s="67" t="s">
        <v>15</v>
      </c>
      <c r="D115" s="69" t="s">
        <v>50</v>
      </c>
      <c r="E115" s="100"/>
      <c r="F115" s="100">
        <v>1</v>
      </c>
      <c r="G115" s="100"/>
    </row>
    <row r="116" spans="3:7" x14ac:dyDescent="0.2">
      <c r="C116" s="67" t="s">
        <v>5</v>
      </c>
      <c r="D116" s="75" t="s">
        <v>55</v>
      </c>
      <c r="E116" s="100">
        <v>2</v>
      </c>
      <c r="F116" s="100"/>
      <c r="G116" s="100"/>
    </row>
    <row r="117" spans="3:7" x14ac:dyDescent="0.2">
      <c r="C117" s="67" t="s">
        <v>4</v>
      </c>
      <c r="D117" s="69" t="s">
        <v>57</v>
      </c>
      <c r="E117" s="100"/>
      <c r="F117" s="100">
        <v>1</v>
      </c>
      <c r="G117" s="100"/>
    </row>
    <row r="118" spans="3:7" x14ac:dyDescent="0.2">
      <c r="C118" s="67" t="s">
        <v>3</v>
      </c>
      <c r="D118" s="69" t="s">
        <v>58</v>
      </c>
      <c r="E118" s="100"/>
      <c r="F118" s="100"/>
      <c r="G118" s="100">
        <v>2</v>
      </c>
    </row>
    <row r="119" spans="3:7" x14ac:dyDescent="0.2">
      <c r="C119" s="67" t="s">
        <v>5</v>
      </c>
      <c r="D119" s="75" t="s">
        <v>61</v>
      </c>
      <c r="E119" s="100"/>
      <c r="F119" s="100">
        <v>1</v>
      </c>
      <c r="G119" s="100"/>
    </row>
    <row r="120" spans="3:7" x14ac:dyDescent="0.2">
      <c r="C120" s="67" t="s">
        <v>15</v>
      </c>
      <c r="D120" s="69" t="s">
        <v>62</v>
      </c>
      <c r="E120" s="100"/>
      <c r="F120" s="100"/>
      <c r="G120" s="100">
        <v>2</v>
      </c>
    </row>
    <row r="121" spans="3:7" ht="30" x14ac:dyDescent="0.2">
      <c r="C121" s="67" t="s">
        <v>3</v>
      </c>
      <c r="D121" s="69" t="s">
        <v>63</v>
      </c>
      <c r="E121" s="100"/>
      <c r="F121" s="100">
        <v>1</v>
      </c>
      <c r="G121" s="100"/>
    </row>
    <row r="122" spans="3:7" x14ac:dyDescent="0.2">
      <c r="C122" s="67" t="s">
        <v>13</v>
      </c>
      <c r="D122" s="69" t="s">
        <v>64</v>
      </c>
      <c r="E122" s="100"/>
      <c r="F122" s="100">
        <v>1</v>
      </c>
      <c r="G122" s="100"/>
    </row>
    <row r="123" spans="3:7" x14ac:dyDescent="0.2">
      <c r="C123" s="67" t="s">
        <v>4</v>
      </c>
      <c r="D123" s="69" t="s">
        <v>65</v>
      </c>
      <c r="E123" s="100">
        <v>0</v>
      </c>
      <c r="F123" s="100"/>
      <c r="G123" s="100"/>
    </row>
    <row r="124" spans="3:7" x14ac:dyDescent="0.2">
      <c r="C124" s="67" t="s">
        <v>5</v>
      </c>
      <c r="D124" s="69" t="s">
        <v>66</v>
      </c>
      <c r="E124" s="100">
        <v>0</v>
      </c>
      <c r="F124" s="100"/>
      <c r="G124" s="100"/>
    </row>
    <row r="125" spans="3:7" ht="30" x14ac:dyDescent="0.2">
      <c r="C125" s="67" t="s">
        <v>13</v>
      </c>
      <c r="D125" s="69" t="s">
        <v>67</v>
      </c>
      <c r="E125" s="100"/>
      <c r="F125" s="100">
        <v>1</v>
      </c>
      <c r="G125" s="100"/>
    </row>
    <row r="126" spans="3:7" x14ac:dyDescent="0.2">
      <c r="C126" s="67" t="s">
        <v>15</v>
      </c>
      <c r="D126" s="75" t="s">
        <v>68</v>
      </c>
      <c r="E126" s="100"/>
      <c r="F126" s="100">
        <v>1</v>
      </c>
      <c r="G126" s="100"/>
    </row>
    <row r="127" spans="3:7" x14ac:dyDescent="0.2">
      <c r="C127" s="67" t="s">
        <v>4</v>
      </c>
      <c r="D127" s="69" t="s">
        <v>69</v>
      </c>
      <c r="E127" s="100"/>
      <c r="F127" s="100">
        <v>1</v>
      </c>
      <c r="G127" s="100">
        <v>2</v>
      </c>
    </row>
    <row r="128" spans="3:7" x14ac:dyDescent="0.2">
      <c r="C128" s="67" t="s">
        <v>5</v>
      </c>
      <c r="D128" s="69" t="s">
        <v>70</v>
      </c>
      <c r="E128" s="100">
        <v>0</v>
      </c>
      <c r="F128" s="100"/>
      <c r="G128" s="100"/>
    </row>
    <row r="129" spans="3:7" x14ac:dyDescent="0.2">
      <c r="C129" s="67" t="s">
        <v>3</v>
      </c>
      <c r="D129" s="69" t="s">
        <v>71</v>
      </c>
      <c r="E129" s="100"/>
      <c r="F129" s="100">
        <v>1</v>
      </c>
      <c r="G129" s="100"/>
    </row>
    <row r="130" spans="3:7" x14ac:dyDescent="0.2">
      <c r="C130" s="67" t="s">
        <v>15</v>
      </c>
      <c r="D130" s="75" t="s">
        <v>72</v>
      </c>
      <c r="E130" s="100">
        <v>2</v>
      </c>
      <c r="F130" s="100"/>
      <c r="G130" s="100"/>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zoomScaleNormal="100" workbookViewId="0">
      <selection activeCell="E77" sqref="E77"/>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row>
    <row r="6" spans="2:18" ht="16" thickBot="1" x14ac:dyDescent="0.25">
      <c r="C6" s="25" t="s">
        <v>107</v>
      </c>
      <c r="D6" s="28"/>
    </row>
    <row r="7" spans="2:18" ht="16" thickBot="1" x14ac:dyDescent="0.25">
      <c r="F7" s="26"/>
    </row>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100">
        <v>0</v>
      </c>
      <c r="F12" s="100"/>
      <c r="G12" s="100"/>
    </row>
    <row r="13" spans="2:18" x14ac:dyDescent="0.2">
      <c r="C13" s="67" t="s">
        <v>15</v>
      </c>
      <c r="D13" s="69" t="s">
        <v>16</v>
      </c>
      <c r="E13" s="100"/>
      <c r="F13" s="100">
        <v>1</v>
      </c>
      <c r="G13" s="100"/>
      <c r="J13" s="25" t="s">
        <v>17</v>
      </c>
    </row>
    <row r="14" spans="2:18" ht="30" x14ac:dyDescent="0.2">
      <c r="C14" s="67" t="s">
        <v>3</v>
      </c>
      <c r="D14" s="69" t="s">
        <v>18</v>
      </c>
      <c r="E14" s="100"/>
      <c r="F14" s="100"/>
      <c r="G14" s="100">
        <v>2</v>
      </c>
      <c r="J14" s="66" t="s">
        <v>2</v>
      </c>
      <c r="K14" s="66" t="s">
        <v>207</v>
      </c>
      <c r="L14" s="66" t="s">
        <v>208</v>
      </c>
      <c r="M14" s="66" t="s">
        <v>163</v>
      </c>
      <c r="N14" s="66" t="s">
        <v>20</v>
      </c>
      <c r="O14" s="158" t="s">
        <v>21</v>
      </c>
      <c r="P14" s="159"/>
      <c r="Q14" s="159"/>
      <c r="R14" s="160"/>
    </row>
    <row r="15" spans="2:18" ht="30" x14ac:dyDescent="0.2">
      <c r="C15" s="67" t="s">
        <v>13</v>
      </c>
      <c r="D15" s="69" t="s">
        <v>22</v>
      </c>
      <c r="E15" s="100"/>
      <c r="F15" s="100"/>
      <c r="G15" s="100">
        <v>2</v>
      </c>
      <c r="J15" s="66" t="s">
        <v>3</v>
      </c>
      <c r="K15" s="126">
        <f>SUM(E14,F14,G14,E19,F19,G19,E27,F27,G27,E24,F24,G24,E35,F35,G35)</f>
        <v>8</v>
      </c>
      <c r="L15" s="125">
        <f>SUM(E47,F47,G47,E52,F52,G52,E60,F60,G60,E57,F57,G57,E68,F68,G68)</f>
        <v>7</v>
      </c>
      <c r="M15" s="126">
        <f>SUM(E78,F78,G78,E83,F83,G83,E91,F91,G91,E88,F88,G88,E99,F99,G99)</f>
        <v>7</v>
      </c>
      <c r="N15" s="126">
        <f>SUM(E108,F108,G108,E113,F113,G113,E118,F118,G118,E121,F121,G121,E129,F129,G129)</f>
        <v>7</v>
      </c>
      <c r="O15" s="79" t="s">
        <v>23</v>
      </c>
      <c r="P15" s="80">
        <v>4</v>
      </c>
      <c r="Q15" s="81" t="s">
        <v>24</v>
      </c>
      <c r="R15" s="82" t="s">
        <v>25</v>
      </c>
    </row>
    <row r="16" spans="2:18" x14ac:dyDescent="0.2">
      <c r="C16" s="67" t="s">
        <v>4</v>
      </c>
      <c r="D16" s="69" t="s">
        <v>26</v>
      </c>
      <c r="E16" s="100"/>
      <c r="F16" s="100">
        <v>1</v>
      </c>
      <c r="G16" s="100"/>
      <c r="J16" s="66" t="s">
        <v>5</v>
      </c>
      <c r="K16" s="126">
        <f>SUM(E17,F17,G17,E22,F22,G22,E25,F25,G25,E30,F30,G30,E34,F34,G34)</f>
        <v>3</v>
      </c>
      <c r="L16" s="125">
        <f>SUM(E50,F50,G50,E55,F55,G55,E58,F58,G58,E63,F63,G63,E67,F67,G67)</f>
        <v>4</v>
      </c>
      <c r="M16" s="126">
        <f>SUM(E81,F81,G81,E86,F86,G86,E89,F89,G89,E94,F94,G94,E98,F98,G98)</f>
        <v>3</v>
      </c>
      <c r="N16" s="126">
        <f>SUM(E111,F111,G111,E116,F116,G116,E119,F119,G119,E124,F124,G124,E128,F128,G128)</f>
        <v>3</v>
      </c>
      <c r="O16" s="79" t="s">
        <v>27</v>
      </c>
      <c r="P16" s="80" t="s">
        <v>28</v>
      </c>
      <c r="Q16" s="81" t="s">
        <v>29</v>
      </c>
      <c r="R16" s="82" t="s">
        <v>30</v>
      </c>
    </row>
    <row r="17" spans="3:18" x14ac:dyDescent="0.2">
      <c r="C17" s="67" t="s">
        <v>5</v>
      </c>
      <c r="D17" s="69" t="s">
        <v>31</v>
      </c>
      <c r="E17" s="100">
        <v>1</v>
      </c>
      <c r="F17" s="100"/>
      <c r="G17" s="100"/>
      <c r="J17" s="66" t="s">
        <v>4</v>
      </c>
      <c r="K17" s="125">
        <f>SUM(E16,F16,G16,E18,F18,G18,E23,F23,G23,E29,F29,G29,E33,F33,G33)</f>
        <v>3</v>
      </c>
      <c r="L17" s="125">
        <f>SUM(E49,F49,G49,E51,F51,G51,E62,F62,G62,E56,F56,G56,E66,F66,G66)</f>
        <v>2</v>
      </c>
      <c r="M17" s="125">
        <f>SUM(E80,F80,G80,E82,F82,G82,E87,F87,G87,E93,F93,G93,E97,F97,G97)</f>
        <v>6</v>
      </c>
      <c r="N17" s="126">
        <f>SUM(E110,F110,G110,E112,F112,G112,E117,F117,G117,E123,F123,G123,E127,F127,G127)</f>
        <v>6</v>
      </c>
      <c r="O17" s="79" t="s">
        <v>27</v>
      </c>
      <c r="P17" s="80" t="s">
        <v>28</v>
      </c>
      <c r="Q17" s="81" t="s">
        <v>32</v>
      </c>
      <c r="R17" s="82" t="s">
        <v>33</v>
      </c>
    </row>
    <row r="18" spans="3:18" x14ac:dyDescent="0.2">
      <c r="C18" s="67" t="s">
        <v>4</v>
      </c>
      <c r="D18" s="75" t="s">
        <v>34</v>
      </c>
      <c r="E18" s="100"/>
      <c r="F18" s="100">
        <v>1</v>
      </c>
      <c r="G18" s="100"/>
      <c r="J18" s="66" t="s">
        <v>15</v>
      </c>
      <c r="K18" s="125">
        <f>SUM(E13,F13,G13,E21,F21,G21,E26,F26,G26,E32,F32,G32,E36,F36,G36)</f>
        <v>7</v>
      </c>
      <c r="L18" s="125">
        <f>SUM(E46,F46,G46,E54,F54,G54,E65,F65,G65,E59,F59,G59,E69,F69,G69)</f>
        <v>7</v>
      </c>
      <c r="M18" s="125">
        <f>SUM(E77,F77,G77,E85,F85,G85,E90,F90,G90,E96,F96,G96,E100,F100,G100)</f>
        <v>8</v>
      </c>
      <c r="N18" s="126">
        <f>SUM(E107,F107,G107,E115,F115,G115,E120,F120,G120,E126,F126,G126,E130,F130,G130)</f>
        <v>8</v>
      </c>
      <c r="O18" s="79" t="s">
        <v>35</v>
      </c>
      <c r="P18" s="80" t="s">
        <v>36</v>
      </c>
      <c r="Q18" s="81" t="s">
        <v>37</v>
      </c>
      <c r="R18" s="82" t="s">
        <v>38</v>
      </c>
    </row>
    <row r="19" spans="3:18" x14ac:dyDescent="0.2">
      <c r="C19" s="67" t="s">
        <v>3</v>
      </c>
      <c r="D19" s="69" t="s">
        <v>39</v>
      </c>
      <c r="E19" s="100"/>
      <c r="F19" s="100">
        <v>1</v>
      </c>
      <c r="G19" s="100"/>
      <c r="J19" s="66" t="s">
        <v>40</v>
      </c>
      <c r="K19" s="125">
        <f>SUM(K15:K18)</f>
        <v>21</v>
      </c>
      <c r="L19" s="125">
        <f>SUM(L15:L18)</f>
        <v>20</v>
      </c>
      <c r="M19" s="125">
        <f>SUM(M15:M18)</f>
        <v>24</v>
      </c>
      <c r="N19" s="126">
        <f>SUM(N15:N18)</f>
        <v>24</v>
      </c>
      <c r="O19" s="79" t="s">
        <v>41</v>
      </c>
      <c r="P19" s="80" t="s">
        <v>42</v>
      </c>
      <c r="Q19" s="81" t="s">
        <v>43</v>
      </c>
      <c r="R19" s="82" t="s">
        <v>44</v>
      </c>
    </row>
    <row r="20" spans="3:18" x14ac:dyDescent="0.2">
      <c r="C20" s="67" t="s">
        <v>13</v>
      </c>
      <c r="D20" s="69" t="s">
        <v>45</v>
      </c>
      <c r="E20" s="100"/>
      <c r="F20" s="100"/>
      <c r="G20" s="100">
        <v>2</v>
      </c>
      <c r="J20" s="66" t="s">
        <v>46</v>
      </c>
      <c r="K20" s="125">
        <f>SUM(K15+K16)</f>
        <v>11</v>
      </c>
      <c r="L20" s="125">
        <f>SUM(L15+L16)</f>
        <v>11</v>
      </c>
      <c r="M20" s="125">
        <f>SUM(M15+M16)</f>
        <v>10</v>
      </c>
      <c r="N20" s="125">
        <f>SUM(N15+N16)</f>
        <v>10</v>
      </c>
      <c r="O20" s="79" t="s">
        <v>23</v>
      </c>
      <c r="P20" s="80" t="s">
        <v>47</v>
      </c>
      <c r="Q20" s="81" t="s">
        <v>48</v>
      </c>
      <c r="R20" s="82" t="s">
        <v>49</v>
      </c>
    </row>
    <row r="21" spans="3:18" x14ac:dyDescent="0.2">
      <c r="C21" s="67" t="s">
        <v>15</v>
      </c>
      <c r="D21" s="69" t="s">
        <v>50</v>
      </c>
      <c r="E21" s="100"/>
      <c r="F21" s="100"/>
      <c r="G21" s="100">
        <v>2</v>
      </c>
      <c r="J21" s="66" t="s">
        <v>51</v>
      </c>
      <c r="K21" s="125">
        <f>SUM(K17+K18)</f>
        <v>10</v>
      </c>
      <c r="L21" s="125">
        <f>SUM(L17+L18)</f>
        <v>9</v>
      </c>
      <c r="M21" s="125">
        <f>SUM(M17+M18)</f>
        <v>14</v>
      </c>
      <c r="N21" s="125">
        <f>SUM(N17+N18)</f>
        <v>14</v>
      </c>
      <c r="O21" s="79" t="s">
        <v>52</v>
      </c>
      <c r="P21" s="80" t="s">
        <v>48</v>
      </c>
      <c r="Q21" s="81" t="s">
        <v>53</v>
      </c>
      <c r="R21" s="82" t="s">
        <v>54</v>
      </c>
    </row>
    <row r="22" spans="3:18" x14ac:dyDescent="0.2">
      <c r="C22" s="67" t="s">
        <v>5</v>
      </c>
      <c r="D22" s="75" t="s">
        <v>55</v>
      </c>
      <c r="E22" s="100"/>
      <c r="F22" s="100">
        <v>1</v>
      </c>
      <c r="G22" s="100"/>
      <c r="J22" s="39" t="s">
        <v>56</v>
      </c>
      <c r="K22" s="39"/>
      <c r="L22" s="39"/>
      <c r="M22" s="76"/>
      <c r="N22" s="76"/>
      <c r="O22" s="79" t="s">
        <v>23</v>
      </c>
      <c r="P22" s="80" t="s">
        <v>29</v>
      </c>
      <c r="Q22" s="81" t="s">
        <v>24</v>
      </c>
      <c r="R22" s="82" t="s">
        <v>25</v>
      </c>
    </row>
    <row r="23" spans="3:18" x14ac:dyDescent="0.2">
      <c r="C23" s="67" t="s">
        <v>4</v>
      </c>
      <c r="D23" s="69" t="s">
        <v>57</v>
      </c>
      <c r="E23" s="100"/>
      <c r="F23" s="100">
        <v>1</v>
      </c>
      <c r="G23" s="100"/>
      <c r="J23" s="66"/>
      <c r="K23" s="67"/>
      <c r="L23" s="67"/>
      <c r="M23" s="67"/>
      <c r="N23" s="67"/>
      <c r="O23" s="77"/>
      <c r="P23" s="77"/>
      <c r="Q23" s="77"/>
      <c r="R23" s="77"/>
    </row>
    <row r="24" spans="3:18" x14ac:dyDescent="0.2">
      <c r="C24" s="67" t="s">
        <v>3</v>
      </c>
      <c r="D24" s="69" t="s">
        <v>58</v>
      </c>
      <c r="E24" s="100"/>
      <c r="F24" s="100"/>
      <c r="G24" s="100">
        <v>2</v>
      </c>
      <c r="J24" s="66" t="s">
        <v>13</v>
      </c>
      <c r="K24" s="125">
        <f>SUM(E12,F12,G12,E15,F15,G15,E20,F20,G20,E28,F28,G28,E31,F31,G31)</f>
        <v>6</v>
      </c>
      <c r="L24" s="125">
        <f>SUM(E45,F45,G45,E48,F48,G48,E53,F53,G53,E61,F61,G61,E64,F64,G64)</f>
        <v>6</v>
      </c>
      <c r="M24" s="126">
        <f>SUM(E76,F76,G76,E79,F79,G79,E84,F84,G84,E92,F92,G92,E95,F95,G95)</f>
        <v>8</v>
      </c>
      <c r="N24" s="126">
        <f>SUM(E106,F106,G106,E109,F109,G109,E114,F114,G114,E122,F122,G122,E125,F125,G125)</f>
        <v>6</v>
      </c>
      <c r="O24" s="79" t="s">
        <v>48</v>
      </c>
      <c r="P24" s="80" t="s">
        <v>59</v>
      </c>
      <c r="Q24" s="81" t="s">
        <v>60</v>
      </c>
      <c r="R24" s="82" t="s">
        <v>35</v>
      </c>
    </row>
    <row r="25" spans="3:18" x14ac:dyDescent="0.2">
      <c r="C25" s="67" t="s">
        <v>5</v>
      </c>
      <c r="D25" s="75" t="s">
        <v>61</v>
      </c>
      <c r="E25" s="100"/>
      <c r="F25" s="100">
        <v>1</v>
      </c>
      <c r="G25" s="100"/>
    </row>
    <row r="26" spans="3:18" x14ac:dyDescent="0.2">
      <c r="C26" s="67" t="s">
        <v>15</v>
      </c>
      <c r="D26" s="69" t="s">
        <v>62</v>
      </c>
      <c r="E26" s="100"/>
      <c r="F26" s="100"/>
      <c r="G26" s="100">
        <v>2</v>
      </c>
    </row>
    <row r="27" spans="3:18" ht="30" x14ac:dyDescent="0.2">
      <c r="C27" s="67" t="s">
        <v>3</v>
      </c>
      <c r="D27" s="69" t="s">
        <v>63</v>
      </c>
      <c r="E27" s="100"/>
      <c r="F27" s="100">
        <v>1</v>
      </c>
      <c r="G27" s="100"/>
    </row>
    <row r="28" spans="3:18" x14ac:dyDescent="0.2">
      <c r="C28" s="67" t="s">
        <v>13</v>
      </c>
      <c r="D28" s="69" t="s">
        <v>64</v>
      </c>
      <c r="E28" s="100"/>
      <c r="F28" s="100">
        <v>1</v>
      </c>
      <c r="G28" s="100"/>
    </row>
    <row r="29" spans="3:18" x14ac:dyDescent="0.2">
      <c r="C29" s="67" t="s">
        <v>4</v>
      </c>
      <c r="D29" s="69" t="s">
        <v>65</v>
      </c>
      <c r="E29" s="100">
        <v>0</v>
      </c>
      <c r="F29" s="100"/>
      <c r="G29" s="100"/>
    </row>
    <row r="30" spans="3:18" x14ac:dyDescent="0.2">
      <c r="C30" s="67" t="s">
        <v>5</v>
      </c>
      <c r="D30" s="69" t="s">
        <v>66</v>
      </c>
      <c r="E30" s="100">
        <v>0</v>
      </c>
      <c r="F30" s="100"/>
      <c r="G30" s="100"/>
    </row>
    <row r="31" spans="3:18" ht="30" x14ac:dyDescent="0.2">
      <c r="C31" s="67" t="s">
        <v>13</v>
      </c>
      <c r="D31" s="69" t="s">
        <v>67</v>
      </c>
      <c r="E31" s="100"/>
      <c r="F31" s="100">
        <v>1</v>
      </c>
      <c r="G31" s="100"/>
    </row>
    <row r="32" spans="3:18" x14ac:dyDescent="0.2">
      <c r="C32" s="67" t="s">
        <v>15</v>
      </c>
      <c r="D32" s="75" t="s">
        <v>68</v>
      </c>
      <c r="E32" s="100">
        <v>2</v>
      </c>
      <c r="F32" s="100"/>
      <c r="G32" s="100"/>
    </row>
    <row r="33" spans="2:17" x14ac:dyDescent="0.2">
      <c r="C33" s="67" t="s">
        <v>4</v>
      </c>
      <c r="D33" s="69" t="s">
        <v>69</v>
      </c>
      <c r="E33" s="100">
        <v>0</v>
      </c>
      <c r="F33" s="100"/>
      <c r="G33" s="100"/>
    </row>
    <row r="34" spans="2:17" x14ac:dyDescent="0.2">
      <c r="C34" s="67" t="s">
        <v>5</v>
      </c>
      <c r="D34" s="69" t="s">
        <v>70</v>
      </c>
      <c r="E34" s="100">
        <v>0</v>
      </c>
      <c r="F34" s="100"/>
      <c r="G34" s="100"/>
    </row>
    <row r="35" spans="2:17" x14ac:dyDescent="0.2">
      <c r="C35" s="67" t="s">
        <v>3</v>
      </c>
      <c r="D35" s="69" t="s">
        <v>71</v>
      </c>
      <c r="E35" s="100"/>
      <c r="F35" s="100"/>
      <c r="G35" s="100">
        <v>2</v>
      </c>
    </row>
    <row r="36" spans="2:17" x14ac:dyDescent="0.2">
      <c r="C36" s="67" t="s">
        <v>15</v>
      </c>
      <c r="D36" s="75" t="s">
        <v>72</v>
      </c>
      <c r="E36" s="100"/>
      <c r="F36" s="100"/>
      <c r="G36" s="100">
        <v>0</v>
      </c>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v>0</v>
      </c>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Incomplete</v>
      </c>
      <c r="N47" s="161"/>
      <c r="O47" s="161"/>
      <c r="P47" s="161"/>
      <c r="Q47" s="78"/>
    </row>
    <row r="48" spans="2:17" ht="31" thickBot="1" x14ac:dyDescent="0.25">
      <c r="C48" s="67" t="s">
        <v>13</v>
      </c>
      <c r="D48" s="69" t="s">
        <v>22</v>
      </c>
      <c r="E48" s="100"/>
      <c r="F48" s="100"/>
      <c r="G48" s="100">
        <v>2</v>
      </c>
      <c r="J48" s="105" t="s">
        <v>164</v>
      </c>
      <c r="K48" s="106" t="str" cm="1">
        <f t="array" ref="K48">_xlfn.LET(
  _xlpm.dataRange, E106:G130,
  _xlpm.rowCounts, _xlfn.BYROW(_xlpm.dataRange, _xlfn.LAMBDA(_xlpm.row, COUNTA(_xlpm.row))),
  _xlpm.valid, AND(_xlpm.rowCounts=1),
  IF(COUNTA(_xlpm.dataRange)=0, "", IF(_xlpm.valid, "Complete", "Incomplete"))
)</f>
        <v>Incomplete</v>
      </c>
    </row>
    <row r="49" spans="3:7" x14ac:dyDescent="0.2">
      <c r="C49" s="67" t="s">
        <v>4</v>
      </c>
      <c r="D49" s="69" t="s">
        <v>26</v>
      </c>
      <c r="E49" s="100"/>
      <c r="F49" s="100">
        <v>1</v>
      </c>
      <c r="G49" s="100"/>
    </row>
    <row r="50" spans="3:7" x14ac:dyDescent="0.2">
      <c r="C50" s="67" t="s">
        <v>5</v>
      </c>
      <c r="D50" s="69" t="s">
        <v>31</v>
      </c>
      <c r="E50" s="100">
        <v>1</v>
      </c>
      <c r="F50" s="100"/>
      <c r="G50" s="100"/>
    </row>
    <row r="51" spans="3:7" x14ac:dyDescent="0.2">
      <c r="C51" s="67" t="s">
        <v>4</v>
      </c>
      <c r="D51" s="75" t="s">
        <v>34</v>
      </c>
      <c r="E51" s="100"/>
      <c r="F51" s="100">
        <v>1</v>
      </c>
      <c r="G51" s="100"/>
    </row>
    <row r="52" spans="3:7" x14ac:dyDescent="0.2">
      <c r="C52" s="67" t="s">
        <v>3</v>
      </c>
      <c r="D52" s="69" t="s">
        <v>39</v>
      </c>
      <c r="E52" s="100"/>
      <c r="F52" s="100">
        <v>1</v>
      </c>
      <c r="G52" s="100"/>
    </row>
    <row r="53" spans="3:7" x14ac:dyDescent="0.2">
      <c r="C53" s="67" t="s">
        <v>13</v>
      </c>
      <c r="D53" s="69" t="s">
        <v>45</v>
      </c>
      <c r="E53" s="100"/>
      <c r="F53" s="100"/>
      <c r="G53" s="100">
        <v>2</v>
      </c>
    </row>
    <row r="54" spans="3:7" x14ac:dyDescent="0.2">
      <c r="C54" s="67" t="s">
        <v>15</v>
      </c>
      <c r="D54" s="69" t="s">
        <v>50</v>
      </c>
      <c r="E54" s="100"/>
      <c r="F54" s="100"/>
      <c r="G54" s="100">
        <v>2</v>
      </c>
    </row>
    <row r="55" spans="3:7" x14ac:dyDescent="0.2">
      <c r="C55" s="67" t="s">
        <v>5</v>
      </c>
      <c r="D55" s="75" t="s">
        <v>55</v>
      </c>
      <c r="E55" s="100">
        <v>2</v>
      </c>
      <c r="F55" s="100"/>
      <c r="G55" s="100"/>
    </row>
    <row r="56" spans="3:7" x14ac:dyDescent="0.2">
      <c r="C56" s="67" t="s">
        <v>4</v>
      </c>
      <c r="D56" s="69" t="s">
        <v>57</v>
      </c>
      <c r="E56" s="100">
        <v>0</v>
      </c>
      <c r="F56" s="100"/>
      <c r="G56" s="100"/>
    </row>
    <row r="57" spans="3:7" x14ac:dyDescent="0.2">
      <c r="C57" s="67" t="s">
        <v>3</v>
      </c>
      <c r="D57" s="69" t="s">
        <v>58</v>
      </c>
      <c r="E57" s="100">
        <v>1</v>
      </c>
      <c r="F57" s="100"/>
      <c r="G57" s="100"/>
    </row>
    <row r="58" spans="3:7" x14ac:dyDescent="0.2">
      <c r="C58" s="67" t="s">
        <v>5</v>
      </c>
      <c r="D58" s="75" t="s">
        <v>61</v>
      </c>
      <c r="E58" s="100"/>
      <c r="F58" s="100">
        <v>1</v>
      </c>
      <c r="G58" s="100"/>
    </row>
    <row r="59" spans="3:7" x14ac:dyDescent="0.2">
      <c r="C59" s="67" t="s">
        <v>15</v>
      </c>
      <c r="D59" s="69" t="s">
        <v>62</v>
      </c>
      <c r="E59" s="100"/>
      <c r="F59" s="100"/>
      <c r="G59" s="100">
        <v>2</v>
      </c>
    </row>
    <row r="60" spans="3:7" ht="30" x14ac:dyDescent="0.2">
      <c r="C60" s="67" t="s">
        <v>3</v>
      </c>
      <c r="D60" s="69" t="s">
        <v>63</v>
      </c>
      <c r="E60" s="100"/>
      <c r="F60" s="100">
        <v>1</v>
      </c>
      <c r="G60" s="100"/>
    </row>
    <row r="61" spans="3:7" x14ac:dyDescent="0.2">
      <c r="C61" s="67" t="s">
        <v>13</v>
      </c>
      <c r="D61" s="69" t="s">
        <v>64</v>
      </c>
      <c r="E61" s="100"/>
      <c r="F61" s="100">
        <v>1</v>
      </c>
      <c r="G61" s="100"/>
    </row>
    <row r="62" spans="3:7" x14ac:dyDescent="0.2">
      <c r="C62" s="67" t="s">
        <v>4</v>
      </c>
      <c r="D62" s="69" t="s">
        <v>65</v>
      </c>
      <c r="E62" s="100">
        <v>0</v>
      </c>
      <c r="F62" s="100"/>
      <c r="G62" s="100"/>
    </row>
    <row r="63" spans="3:7" x14ac:dyDescent="0.2">
      <c r="C63" s="67" t="s">
        <v>5</v>
      </c>
      <c r="D63" s="69" t="s">
        <v>66</v>
      </c>
      <c r="E63" s="100">
        <v>0</v>
      </c>
      <c r="F63" s="100"/>
      <c r="G63" s="100"/>
    </row>
    <row r="64" spans="3:7" ht="30" x14ac:dyDescent="0.2">
      <c r="C64" s="67" t="s">
        <v>13</v>
      </c>
      <c r="D64" s="69" t="s">
        <v>67</v>
      </c>
      <c r="E64" s="100"/>
      <c r="F64" s="100">
        <v>1</v>
      </c>
      <c r="G64" s="100"/>
    </row>
    <row r="65" spans="3:17" x14ac:dyDescent="0.2">
      <c r="C65" s="67" t="s">
        <v>15</v>
      </c>
      <c r="D65" s="75" t="s">
        <v>68</v>
      </c>
      <c r="E65" s="100">
        <v>2</v>
      </c>
      <c r="F65" s="100"/>
      <c r="G65" s="100"/>
    </row>
    <row r="66" spans="3:17" x14ac:dyDescent="0.2">
      <c r="C66" s="67" t="s">
        <v>4</v>
      </c>
      <c r="D66" s="69" t="s">
        <v>69</v>
      </c>
      <c r="E66" s="100">
        <v>0</v>
      </c>
      <c r="F66" s="100"/>
      <c r="G66" s="100"/>
    </row>
    <row r="67" spans="3:17" x14ac:dyDescent="0.2">
      <c r="C67" s="67" t="s">
        <v>5</v>
      </c>
      <c r="D67" s="69" t="s">
        <v>70</v>
      </c>
      <c r="E67" s="100">
        <v>0</v>
      </c>
      <c r="F67" s="100"/>
      <c r="G67" s="100"/>
    </row>
    <row r="68" spans="3:17" x14ac:dyDescent="0.2">
      <c r="C68" s="67" t="s">
        <v>3</v>
      </c>
      <c r="D68" s="69" t="s">
        <v>71</v>
      </c>
      <c r="E68" s="100"/>
      <c r="F68" s="100"/>
      <c r="G68" s="100">
        <v>2</v>
      </c>
    </row>
    <row r="69" spans="3:17" x14ac:dyDescent="0.2">
      <c r="C69" s="67" t="s">
        <v>15</v>
      </c>
      <c r="D69" s="75" t="s">
        <v>72</v>
      </c>
      <c r="E69" s="100"/>
      <c r="F69" s="100"/>
      <c r="G69" s="100">
        <v>0</v>
      </c>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v>2</v>
      </c>
    </row>
    <row r="77" spans="3:17" x14ac:dyDescent="0.2">
      <c r="C77" s="67" t="s">
        <v>15</v>
      </c>
      <c r="D77" s="69" t="s">
        <v>16</v>
      </c>
      <c r="E77" s="100"/>
      <c r="F77" s="100">
        <v>1</v>
      </c>
      <c r="G77" s="100"/>
      <c r="J77" s="25"/>
    </row>
    <row r="78" spans="3:17" ht="30" x14ac:dyDescent="0.2">
      <c r="C78" s="67" t="s">
        <v>3</v>
      </c>
      <c r="D78" s="69" t="s">
        <v>18</v>
      </c>
      <c r="E78" s="100"/>
      <c r="F78" s="100"/>
      <c r="G78" s="100">
        <v>2</v>
      </c>
      <c r="N78" s="161"/>
      <c r="O78" s="161"/>
      <c r="P78" s="161"/>
      <c r="Q78" s="78"/>
    </row>
    <row r="79" spans="3:17" ht="30" x14ac:dyDescent="0.2">
      <c r="C79" s="67" t="s">
        <v>13</v>
      </c>
      <c r="D79" s="69" t="s">
        <v>22</v>
      </c>
      <c r="E79" s="100"/>
      <c r="F79" s="100"/>
      <c r="G79" s="100">
        <v>2</v>
      </c>
    </row>
    <row r="80" spans="3:17" x14ac:dyDescent="0.2">
      <c r="C80" s="67" t="s">
        <v>4</v>
      </c>
      <c r="D80" s="69" t="s">
        <v>26</v>
      </c>
      <c r="E80" s="100"/>
      <c r="F80" s="100">
        <v>1</v>
      </c>
      <c r="G80" s="100"/>
    </row>
    <row r="81" spans="3:7" x14ac:dyDescent="0.2">
      <c r="C81" s="67" t="s">
        <v>5</v>
      </c>
      <c r="D81" s="69" t="s">
        <v>31</v>
      </c>
      <c r="E81" s="100">
        <v>1</v>
      </c>
      <c r="F81" s="100"/>
      <c r="G81" s="100"/>
    </row>
    <row r="82" spans="3:7" x14ac:dyDescent="0.2">
      <c r="C82" s="67" t="s">
        <v>4</v>
      </c>
      <c r="D82" s="75" t="s">
        <v>34</v>
      </c>
      <c r="E82" s="100"/>
      <c r="F82" s="100">
        <v>1</v>
      </c>
      <c r="G82" s="100"/>
    </row>
    <row r="83" spans="3:7" x14ac:dyDescent="0.2">
      <c r="C83" s="67" t="s">
        <v>3</v>
      </c>
      <c r="D83" s="69" t="s">
        <v>39</v>
      </c>
      <c r="E83" s="100"/>
      <c r="F83" s="100">
        <v>1</v>
      </c>
      <c r="G83" s="100"/>
    </row>
    <row r="84" spans="3:7" x14ac:dyDescent="0.2">
      <c r="C84" s="67" t="s">
        <v>13</v>
      </c>
      <c r="D84" s="69" t="s">
        <v>45</v>
      </c>
      <c r="E84" s="100"/>
      <c r="F84" s="100"/>
      <c r="G84" s="100">
        <v>2</v>
      </c>
    </row>
    <row r="85" spans="3:7" x14ac:dyDescent="0.2">
      <c r="C85" s="67" t="s">
        <v>15</v>
      </c>
      <c r="D85" s="69" t="s">
        <v>50</v>
      </c>
      <c r="E85" s="100"/>
      <c r="F85" s="100"/>
      <c r="G85" s="100">
        <v>2</v>
      </c>
    </row>
    <row r="86" spans="3:7" x14ac:dyDescent="0.2">
      <c r="C86" s="67" t="s">
        <v>5</v>
      </c>
      <c r="D86" s="75" t="s">
        <v>55</v>
      </c>
      <c r="E86" s="100"/>
      <c r="F86" s="100">
        <v>1</v>
      </c>
      <c r="G86" s="100"/>
    </row>
    <row r="87" spans="3:7" x14ac:dyDescent="0.2">
      <c r="C87" s="67" t="s">
        <v>4</v>
      </c>
      <c r="D87" s="69" t="s">
        <v>57</v>
      </c>
      <c r="E87" s="100"/>
      <c r="F87" s="100">
        <v>1</v>
      </c>
      <c r="G87" s="100"/>
    </row>
    <row r="88" spans="3:7" x14ac:dyDescent="0.2">
      <c r="C88" s="67" t="s">
        <v>3</v>
      </c>
      <c r="D88" s="69" t="s">
        <v>58</v>
      </c>
      <c r="E88" s="100"/>
      <c r="F88" s="100"/>
      <c r="G88" s="100">
        <v>2</v>
      </c>
    </row>
    <row r="89" spans="3:7" x14ac:dyDescent="0.2">
      <c r="C89" s="67" t="s">
        <v>5</v>
      </c>
      <c r="D89" s="75" t="s">
        <v>61</v>
      </c>
      <c r="E89" s="100"/>
      <c r="F89" s="100">
        <v>1</v>
      </c>
      <c r="G89" s="100"/>
    </row>
    <row r="90" spans="3:7" x14ac:dyDescent="0.2">
      <c r="C90" s="67" t="s">
        <v>15</v>
      </c>
      <c r="D90" s="69" t="s">
        <v>62</v>
      </c>
      <c r="E90" s="100"/>
      <c r="F90" s="100"/>
      <c r="G90" s="100">
        <v>2</v>
      </c>
    </row>
    <row r="91" spans="3:7" ht="30" x14ac:dyDescent="0.2">
      <c r="C91" s="67" t="s">
        <v>3</v>
      </c>
      <c r="D91" s="69" t="s">
        <v>63</v>
      </c>
      <c r="E91" s="100"/>
      <c r="F91" s="100">
        <v>1</v>
      </c>
      <c r="G91" s="100"/>
    </row>
    <row r="92" spans="3:7" x14ac:dyDescent="0.2">
      <c r="C92" s="67" t="s">
        <v>13</v>
      </c>
      <c r="D92" s="69" t="s">
        <v>64</v>
      </c>
      <c r="E92" s="100"/>
      <c r="F92" s="100">
        <v>1</v>
      </c>
      <c r="G92" s="100"/>
    </row>
    <row r="93" spans="3:7" x14ac:dyDescent="0.2">
      <c r="C93" s="67" t="s">
        <v>4</v>
      </c>
      <c r="D93" s="69" t="s">
        <v>65</v>
      </c>
      <c r="E93" s="100">
        <v>0</v>
      </c>
      <c r="F93" s="100"/>
      <c r="G93" s="100"/>
    </row>
    <row r="94" spans="3:7" x14ac:dyDescent="0.2">
      <c r="C94" s="67" t="s">
        <v>5</v>
      </c>
      <c r="D94" s="69" t="s">
        <v>66</v>
      </c>
      <c r="E94" s="100">
        <v>0</v>
      </c>
      <c r="F94" s="100"/>
      <c r="G94" s="100"/>
    </row>
    <row r="95" spans="3:7" ht="30" x14ac:dyDescent="0.2">
      <c r="C95" s="67" t="s">
        <v>13</v>
      </c>
      <c r="D95" s="69" t="s">
        <v>67</v>
      </c>
      <c r="E95" s="100"/>
      <c r="F95" s="100">
        <v>1</v>
      </c>
      <c r="G95" s="100"/>
    </row>
    <row r="96" spans="3:7" x14ac:dyDescent="0.2">
      <c r="C96" s="67" t="s">
        <v>15</v>
      </c>
      <c r="D96" s="75" t="s">
        <v>68</v>
      </c>
      <c r="E96" s="100"/>
      <c r="F96" s="100">
        <v>1</v>
      </c>
      <c r="G96" s="100"/>
    </row>
    <row r="97" spans="3:7" x14ac:dyDescent="0.2">
      <c r="C97" s="67" t="s">
        <v>4</v>
      </c>
      <c r="D97" s="69" t="s">
        <v>69</v>
      </c>
      <c r="E97" s="100"/>
      <c r="F97" s="100">
        <v>1</v>
      </c>
      <c r="G97" s="100">
        <v>2</v>
      </c>
    </row>
    <row r="98" spans="3:7" x14ac:dyDescent="0.2">
      <c r="C98" s="67" t="s">
        <v>5</v>
      </c>
      <c r="D98" s="69" t="s">
        <v>70</v>
      </c>
      <c r="E98" s="100">
        <v>0</v>
      </c>
      <c r="F98" s="100"/>
      <c r="G98" s="100"/>
    </row>
    <row r="99" spans="3:7" x14ac:dyDescent="0.2">
      <c r="C99" s="67" t="s">
        <v>3</v>
      </c>
      <c r="D99" s="69" t="s">
        <v>71</v>
      </c>
      <c r="E99" s="100"/>
      <c r="F99" s="100">
        <v>1</v>
      </c>
      <c r="G99" s="100"/>
    </row>
    <row r="100" spans="3:7" x14ac:dyDescent="0.2">
      <c r="C100" s="67" t="s">
        <v>15</v>
      </c>
      <c r="D100" s="75" t="s">
        <v>72</v>
      </c>
      <c r="E100" s="100">
        <v>2</v>
      </c>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v>0</v>
      </c>
      <c r="F106" s="100"/>
      <c r="G106" s="100"/>
    </row>
    <row r="107" spans="3:7" x14ac:dyDescent="0.2">
      <c r="C107" s="67" t="s">
        <v>15</v>
      </c>
      <c r="D107" s="69" t="s">
        <v>16</v>
      </c>
      <c r="E107" s="100"/>
      <c r="F107" s="100">
        <v>1</v>
      </c>
      <c r="G107" s="100"/>
    </row>
    <row r="108" spans="3:7" ht="30" x14ac:dyDescent="0.2">
      <c r="C108" s="67" t="s">
        <v>3</v>
      </c>
      <c r="D108" s="69" t="s">
        <v>18</v>
      </c>
      <c r="E108" s="100"/>
      <c r="F108" s="100"/>
      <c r="G108" s="100">
        <v>2</v>
      </c>
    </row>
    <row r="109" spans="3:7" ht="30" x14ac:dyDescent="0.2">
      <c r="C109" s="67" t="s">
        <v>13</v>
      </c>
      <c r="D109" s="69" t="s">
        <v>22</v>
      </c>
      <c r="E109" s="100"/>
      <c r="F109" s="100"/>
      <c r="G109" s="100">
        <v>2</v>
      </c>
    </row>
    <row r="110" spans="3:7" x14ac:dyDescent="0.2">
      <c r="C110" s="67" t="s">
        <v>4</v>
      </c>
      <c r="D110" s="69" t="s">
        <v>26</v>
      </c>
      <c r="E110" s="100"/>
      <c r="F110" s="100">
        <v>1</v>
      </c>
      <c r="G110" s="100"/>
    </row>
    <row r="111" spans="3:7" x14ac:dyDescent="0.2">
      <c r="C111" s="67" t="s">
        <v>5</v>
      </c>
      <c r="D111" s="69" t="s">
        <v>31</v>
      </c>
      <c r="E111" s="100">
        <v>1</v>
      </c>
      <c r="F111" s="100"/>
      <c r="G111" s="100"/>
    </row>
    <row r="112" spans="3:7" x14ac:dyDescent="0.2">
      <c r="C112" s="67" t="s">
        <v>4</v>
      </c>
      <c r="D112" s="75" t="s">
        <v>34</v>
      </c>
      <c r="E112" s="100"/>
      <c r="F112" s="100">
        <v>1</v>
      </c>
      <c r="G112" s="100"/>
    </row>
    <row r="113" spans="3:7" x14ac:dyDescent="0.2">
      <c r="C113" s="67" t="s">
        <v>3</v>
      </c>
      <c r="D113" s="69" t="s">
        <v>39</v>
      </c>
      <c r="E113" s="100"/>
      <c r="F113" s="100">
        <v>1</v>
      </c>
      <c r="G113" s="100"/>
    </row>
    <row r="114" spans="3:7" x14ac:dyDescent="0.2">
      <c r="C114" s="67" t="s">
        <v>13</v>
      </c>
      <c r="D114" s="69" t="s">
        <v>45</v>
      </c>
      <c r="E114" s="100"/>
      <c r="F114" s="100"/>
      <c r="G114" s="100">
        <v>2</v>
      </c>
    </row>
    <row r="115" spans="3:7" x14ac:dyDescent="0.2">
      <c r="C115" s="67" t="s">
        <v>15</v>
      </c>
      <c r="D115" s="69" t="s">
        <v>50</v>
      </c>
      <c r="E115" s="100"/>
      <c r="F115" s="100"/>
      <c r="G115" s="100">
        <v>2</v>
      </c>
    </row>
    <row r="116" spans="3:7" x14ac:dyDescent="0.2">
      <c r="C116" s="67" t="s">
        <v>5</v>
      </c>
      <c r="D116" s="75" t="s">
        <v>55</v>
      </c>
      <c r="E116" s="100"/>
      <c r="F116" s="100">
        <v>1</v>
      </c>
      <c r="G116" s="100"/>
    </row>
    <row r="117" spans="3:7" x14ac:dyDescent="0.2">
      <c r="C117" s="67" t="s">
        <v>4</v>
      </c>
      <c r="D117" s="69" t="s">
        <v>57</v>
      </c>
      <c r="E117" s="100"/>
      <c r="F117" s="100">
        <v>1</v>
      </c>
      <c r="G117" s="100"/>
    </row>
    <row r="118" spans="3:7" x14ac:dyDescent="0.2">
      <c r="C118" s="67" t="s">
        <v>3</v>
      </c>
      <c r="D118" s="69" t="s">
        <v>58</v>
      </c>
      <c r="E118" s="100"/>
      <c r="F118" s="100"/>
      <c r="G118" s="100">
        <v>2</v>
      </c>
    </row>
    <row r="119" spans="3:7" x14ac:dyDescent="0.2">
      <c r="C119" s="67" t="s">
        <v>5</v>
      </c>
      <c r="D119" s="75" t="s">
        <v>61</v>
      </c>
      <c r="E119" s="100"/>
      <c r="F119" s="100">
        <v>1</v>
      </c>
      <c r="G119" s="100"/>
    </row>
    <row r="120" spans="3:7" x14ac:dyDescent="0.2">
      <c r="C120" s="67" t="s">
        <v>15</v>
      </c>
      <c r="D120" s="69" t="s">
        <v>62</v>
      </c>
      <c r="E120" s="100"/>
      <c r="F120" s="100"/>
      <c r="G120" s="100">
        <v>2</v>
      </c>
    </row>
    <row r="121" spans="3:7" ht="30" x14ac:dyDescent="0.2">
      <c r="C121" s="67" t="s">
        <v>3</v>
      </c>
      <c r="D121" s="69" t="s">
        <v>63</v>
      </c>
      <c r="E121" s="100"/>
      <c r="F121" s="100">
        <v>1</v>
      </c>
      <c r="G121" s="100"/>
    </row>
    <row r="122" spans="3:7" x14ac:dyDescent="0.2">
      <c r="C122" s="67" t="s">
        <v>13</v>
      </c>
      <c r="D122" s="69" t="s">
        <v>64</v>
      </c>
      <c r="E122" s="100"/>
      <c r="F122" s="100">
        <v>1</v>
      </c>
      <c r="G122" s="100"/>
    </row>
    <row r="123" spans="3:7" x14ac:dyDescent="0.2">
      <c r="C123" s="67" t="s">
        <v>4</v>
      </c>
      <c r="D123" s="69" t="s">
        <v>65</v>
      </c>
      <c r="E123" s="100">
        <v>0</v>
      </c>
      <c r="F123" s="100"/>
      <c r="G123" s="100"/>
    </row>
    <row r="124" spans="3:7" x14ac:dyDescent="0.2">
      <c r="C124" s="67" t="s">
        <v>5</v>
      </c>
      <c r="D124" s="69" t="s">
        <v>66</v>
      </c>
      <c r="E124" s="100">
        <v>0</v>
      </c>
      <c r="F124" s="100"/>
      <c r="G124" s="100"/>
    </row>
    <row r="125" spans="3:7" ht="30" x14ac:dyDescent="0.2">
      <c r="C125" s="67" t="s">
        <v>13</v>
      </c>
      <c r="D125" s="69" t="s">
        <v>67</v>
      </c>
      <c r="E125" s="100"/>
      <c r="F125" s="100">
        <v>1</v>
      </c>
      <c r="G125" s="100"/>
    </row>
    <row r="126" spans="3:7" x14ac:dyDescent="0.2">
      <c r="C126" s="67" t="s">
        <v>15</v>
      </c>
      <c r="D126" s="75" t="s">
        <v>68</v>
      </c>
      <c r="E126" s="100"/>
      <c r="F126" s="100">
        <v>1</v>
      </c>
      <c r="G126" s="100"/>
    </row>
    <row r="127" spans="3:7" x14ac:dyDescent="0.2">
      <c r="C127" s="67" t="s">
        <v>4</v>
      </c>
      <c r="D127" s="69" t="s">
        <v>69</v>
      </c>
      <c r="E127" s="100"/>
      <c r="F127" s="100">
        <v>1</v>
      </c>
      <c r="G127" s="100">
        <v>2</v>
      </c>
    </row>
    <row r="128" spans="3:7" x14ac:dyDescent="0.2">
      <c r="C128" s="67" t="s">
        <v>5</v>
      </c>
      <c r="D128" s="69" t="s">
        <v>70</v>
      </c>
      <c r="E128" s="100">
        <v>0</v>
      </c>
      <c r="F128" s="100"/>
      <c r="G128" s="100"/>
    </row>
    <row r="129" spans="3:7" x14ac:dyDescent="0.2">
      <c r="C129" s="67" t="s">
        <v>3</v>
      </c>
      <c r="D129" s="69" t="s">
        <v>71</v>
      </c>
      <c r="E129" s="100"/>
      <c r="F129" s="100">
        <v>1</v>
      </c>
      <c r="G129" s="100"/>
    </row>
    <row r="130" spans="3:7" x14ac:dyDescent="0.2">
      <c r="C130" s="67" t="s">
        <v>15</v>
      </c>
      <c r="D130" s="75" t="s">
        <v>72</v>
      </c>
      <c r="E130" s="100">
        <v>2</v>
      </c>
      <c r="F130" s="100"/>
      <c r="G130" s="100"/>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D12" zoomScaleNormal="100"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row>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83"/>
      <c r="P23" s="83"/>
      <c r="Q23" s="83"/>
      <c r="R23" s="83"/>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D24" zoomScaleNormal="100" workbookViewId="0">
      <selection activeCell="E106" sqref="E106:G130"/>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1:18" x14ac:dyDescent="0.2">
      <c r="C2" s="25" t="s">
        <v>129</v>
      </c>
      <c r="D2" s="19" t="s">
        <v>166</v>
      </c>
    </row>
    <row r="3" spans="1:18" x14ac:dyDescent="0.2">
      <c r="C3" s="25"/>
      <c r="D3" s="19" t="s">
        <v>167</v>
      </c>
    </row>
    <row r="4" spans="1:18" x14ac:dyDescent="0.2">
      <c r="C4" s="25"/>
      <c r="D4" s="19" t="s">
        <v>168</v>
      </c>
    </row>
    <row r="5" spans="1:18" ht="16" thickBot="1" x14ac:dyDescent="0.25">
      <c r="C5" s="25"/>
    </row>
    <row r="6" spans="1:18" ht="16" thickBot="1" x14ac:dyDescent="0.25">
      <c r="C6" s="25" t="s">
        <v>107</v>
      </c>
      <c r="D6" s="28"/>
    </row>
    <row r="7" spans="1:18" ht="16" thickBot="1" x14ac:dyDescent="0.25"/>
    <row r="8" spans="1:18" ht="16" thickBot="1" x14ac:dyDescent="0.25">
      <c r="A8" s="26"/>
      <c r="B8" s="145" t="s">
        <v>204</v>
      </c>
      <c r="C8" s="145"/>
      <c r="D8" s="94"/>
      <c r="E8" s="147" t="s">
        <v>203</v>
      </c>
    </row>
    <row r="10" spans="1:18" x14ac:dyDescent="0.2">
      <c r="C10" s="66" t="s">
        <v>2</v>
      </c>
      <c r="D10" s="66" t="s">
        <v>7</v>
      </c>
      <c r="E10" s="66" t="s">
        <v>8</v>
      </c>
      <c r="F10" s="66" t="s">
        <v>9</v>
      </c>
      <c r="G10" s="66" t="b">
        <v>1</v>
      </c>
    </row>
    <row r="11" spans="1:18" x14ac:dyDescent="0.2">
      <c r="C11" s="67"/>
      <c r="D11" s="68" t="s">
        <v>10</v>
      </c>
      <c r="E11" s="34" t="s">
        <v>11</v>
      </c>
      <c r="F11" s="34">
        <v>1</v>
      </c>
      <c r="G11" s="34" t="s">
        <v>12</v>
      </c>
      <c r="J11" s="19" t="s">
        <v>188</v>
      </c>
    </row>
    <row r="12" spans="1:18" x14ac:dyDescent="0.2">
      <c r="C12" s="67" t="s">
        <v>13</v>
      </c>
      <c r="D12" s="69" t="s">
        <v>14</v>
      </c>
      <c r="E12" s="100"/>
      <c r="F12" s="100"/>
      <c r="G12" s="100"/>
    </row>
    <row r="13" spans="1:18" x14ac:dyDescent="0.2">
      <c r="C13" s="67" t="s">
        <v>15</v>
      </c>
      <c r="D13" s="69" t="s">
        <v>16</v>
      </c>
      <c r="E13" s="100"/>
      <c r="F13" s="100"/>
      <c r="G13" s="100"/>
      <c r="J13" s="25" t="s">
        <v>17</v>
      </c>
    </row>
    <row r="14" spans="1: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1: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1: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6</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100"/>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6</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6</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K14" sqref="K14"/>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F1" workbookViewId="0">
      <selection activeCell="H3" sqref="H3"/>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70"/>
      <c r="F12" s="39"/>
      <c r="G12" s="39"/>
    </row>
    <row r="13" spans="2:18" x14ac:dyDescent="0.2">
      <c r="C13" s="67" t="s">
        <v>15</v>
      </c>
      <c r="D13" s="69" t="s">
        <v>16</v>
      </c>
      <c r="E13" s="39"/>
      <c r="F13" s="39"/>
      <c r="G13" s="39"/>
      <c r="J13" s="25" t="s">
        <v>17</v>
      </c>
    </row>
    <row r="14" spans="2:18" ht="30" x14ac:dyDescent="0.2">
      <c r="C14" s="67" t="s">
        <v>3</v>
      </c>
      <c r="D14" s="69" t="s">
        <v>18</v>
      </c>
      <c r="E14" s="39"/>
      <c r="F14" s="39"/>
      <c r="G14" s="39"/>
      <c r="J14" s="66" t="s">
        <v>2</v>
      </c>
      <c r="K14" s="66" t="s">
        <v>207</v>
      </c>
      <c r="L14" s="66" t="s">
        <v>208</v>
      </c>
      <c r="M14" s="66" t="s">
        <v>19</v>
      </c>
      <c r="N14" s="66" t="s">
        <v>20</v>
      </c>
      <c r="O14" s="158" t="s">
        <v>21</v>
      </c>
      <c r="P14" s="159"/>
      <c r="Q14" s="159"/>
      <c r="R14" s="160"/>
    </row>
    <row r="15" spans="2:18" ht="30" x14ac:dyDescent="0.2">
      <c r="C15" s="67" t="s">
        <v>13</v>
      </c>
      <c r="D15" s="69" t="s">
        <v>22</v>
      </c>
      <c r="E15" s="39"/>
      <c r="F15" s="39"/>
      <c r="G15" s="39"/>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39"/>
      <c r="F16" s="39"/>
      <c r="G16" s="39"/>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39"/>
      <c r="F17" s="39"/>
      <c r="G17" s="39"/>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39"/>
      <c r="F18" s="39"/>
      <c r="G18" s="39"/>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39"/>
      <c r="F19" s="39"/>
      <c r="G19" s="39"/>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39"/>
      <c r="F20" s="39"/>
      <c r="G20" s="39"/>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39"/>
      <c r="F21" s="39"/>
      <c r="G21" s="39"/>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39"/>
      <c r="F22" s="39"/>
      <c r="G22" s="39"/>
      <c r="J22" s="39" t="s">
        <v>56</v>
      </c>
      <c r="K22" s="39"/>
      <c r="L22" s="39"/>
      <c r="M22" s="76"/>
      <c r="N22" s="76"/>
      <c r="O22" s="79" t="s">
        <v>23</v>
      </c>
      <c r="P22" s="80" t="s">
        <v>29</v>
      </c>
      <c r="Q22" s="81" t="s">
        <v>24</v>
      </c>
      <c r="R22" s="82" t="s">
        <v>25</v>
      </c>
    </row>
    <row r="23" spans="3:18" x14ac:dyDescent="0.2">
      <c r="C23" s="67" t="s">
        <v>4</v>
      </c>
      <c r="D23" s="69" t="s">
        <v>57</v>
      </c>
      <c r="E23" s="39"/>
      <c r="F23" s="39"/>
      <c r="G23" s="39"/>
      <c r="J23" s="66"/>
      <c r="K23" s="67"/>
      <c r="L23" s="67"/>
      <c r="M23" s="67"/>
      <c r="N23" s="67"/>
      <c r="O23" s="77"/>
      <c r="P23" s="77"/>
      <c r="Q23" s="77"/>
      <c r="R23" s="77"/>
    </row>
    <row r="24" spans="3:18" x14ac:dyDescent="0.2">
      <c r="C24" s="67" t="s">
        <v>3</v>
      </c>
      <c r="D24" s="69" t="s">
        <v>58</v>
      </c>
      <c r="E24" s="39"/>
      <c r="F24" s="39"/>
      <c r="G24" s="39"/>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39"/>
      <c r="F25" s="39"/>
      <c r="G25" s="39"/>
    </row>
    <row r="26" spans="3:18" x14ac:dyDescent="0.2">
      <c r="C26" s="67" t="s">
        <v>15</v>
      </c>
      <c r="D26" s="69" t="s">
        <v>62</v>
      </c>
      <c r="E26" s="39"/>
      <c r="F26" s="39"/>
      <c r="G26" s="39"/>
    </row>
    <row r="27" spans="3:18" ht="30" x14ac:dyDescent="0.2">
      <c r="C27" s="67" t="s">
        <v>3</v>
      </c>
      <c r="D27" s="69" t="s">
        <v>63</v>
      </c>
      <c r="E27" s="39"/>
      <c r="F27" s="39"/>
      <c r="G27" s="39"/>
    </row>
    <row r="28" spans="3:18" x14ac:dyDescent="0.2">
      <c r="C28" s="67" t="s">
        <v>13</v>
      </c>
      <c r="D28" s="69" t="s">
        <v>64</v>
      </c>
      <c r="E28" s="39"/>
      <c r="F28" s="39"/>
      <c r="G28" s="39"/>
    </row>
    <row r="29" spans="3:18" x14ac:dyDescent="0.2">
      <c r="C29" s="67" t="s">
        <v>4</v>
      </c>
      <c r="D29" s="69" t="s">
        <v>65</v>
      </c>
      <c r="E29" s="39"/>
      <c r="F29" s="39"/>
      <c r="G29" s="39"/>
    </row>
    <row r="30" spans="3:18" x14ac:dyDescent="0.2">
      <c r="C30" s="67" t="s">
        <v>5</v>
      </c>
      <c r="D30" s="69" t="s">
        <v>66</v>
      </c>
      <c r="E30" s="39"/>
      <c r="F30" s="39"/>
      <c r="G30" s="39"/>
    </row>
    <row r="31" spans="3:18" ht="30" x14ac:dyDescent="0.2">
      <c r="C31" s="67" t="s">
        <v>13</v>
      </c>
      <c r="D31" s="69" t="s">
        <v>67</v>
      </c>
      <c r="E31" s="39"/>
      <c r="F31" s="39"/>
      <c r="G31" s="39"/>
    </row>
    <row r="32" spans="3:18" x14ac:dyDescent="0.2">
      <c r="C32" s="67" t="s">
        <v>15</v>
      </c>
      <c r="D32" s="75" t="s">
        <v>68</v>
      </c>
      <c r="E32" s="39"/>
      <c r="F32" s="39"/>
      <c r="G32" s="39"/>
    </row>
    <row r="33" spans="2:17" x14ac:dyDescent="0.2">
      <c r="C33" s="67" t="s">
        <v>4</v>
      </c>
      <c r="D33" s="69" t="s">
        <v>69</v>
      </c>
      <c r="E33" s="39"/>
      <c r="F33" s="39"/>
      <c r="G33" s="39"/>
    </row>
    <row r="34" spans="2:17" x14ac:dyDescent="0.2">
      <c r="C34" s="67" t="s">
        <v>5</v>
      </c>
      <c r="D34" s="69" t="s">
        <v>70</v>
      </c>
      <c r="E34" s="39"/>
      <c r="F34" s="39"/>
      <c r="G34" s="39"/>
    </row>
    <row r="35" spans="2:17" x14ac:dyDescent="0.2">
      <c r="C35" s="67" t="s">
        <v>3</v>
      </c>
      <c r="D35" s="69" t="s">
        <v>71</v>
      </c>
      <c r="E35" s="39"/>
      <c r="F35" s="39"/>
      <c r="G35" s="39"/>
    </row>
    <row r="36" spans="2:17" x14ac:dyDescent="0.2">
      <c r="C36" s="67" t="s">
        <v>15</v>
      </c>
      <c r="D36" s="75" t="s">
        <v>72</v>
      </c>
      <c r="E36" s="39"/>
      <c r="F36" s="39"/>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baseColWidth="10" defaultColWidth="8.83203125" defaultRowHeight="15" x14ac:dyDescent="0.2"/>
  <cols>
    <col min="6" max="6" width="19.6640625" customWidth="1"/>
    <col min="7" max="7" width="2" bestFit="1" customWidth="1"/>
    <col min="8" max="8" width="13.33203125" bestFit="1" customWidth="1"/>
  </cols>
  <sheetData>
    <row r="7" spans="5:8" x14ac:dyDescent="0.2">
      <c r="E7" s="1" t="s">
        <v>197</v>
      </c>
    </row>
    <row r="8" spans="5:8" ht="16" thickBot="1" x14ac:dyDescent="0.25"/>
    <row r="9" spans="5:8" x14ac:dyDescent="0.2">
      <c r="E9" s="132" t="s">
        <v>198</v>
      </c>
      <c r="F9" s="140" t="s">
        <v>199</v>
      </c>
      <c r="G9" s="133">
        <v>1</v>
      </c>
      <c r="H9" s="50" t="str">
        <f>IF('SDQ Period 1'!D6="", "", 'SDQ Period 1'!D6)</f>
        <v/>
      </c>
    </row>
    <row r="10" spans="5:8" x14ac:dyDescent="0.2">
      <c r="E10" s="118"/>
      <c r="F10" s="141" t="s">
        <v>199</v>
      </c>
      <c r="G10" s="8">
        <v>2</v>
      </c>
      <c r="H10" s="52" t="str">
        <f>IF('SDQ Period 2'!D6="", "", 'SDQ Period 2'!D6)</f>
        <v/>
      </c>
    </row>
    <row r="11" spans="5:8" x14ac:dyDescent="0.2">
      <c r="E11" s="118"/>
      <c r="F11" s="141" t="s">
        <v>199</v>
      </c>
      <c r="G11" s="8">
        <v>3</v>
      </c>
      <c r="H11" s="52" t="str">
        <f>IF('SDQ Period 3'!D6="", "", 'SDQ Period 3'!D6)</f>
        <v/>
      </c>
    </row>
    <row r="12" spans="5:8" x14ac:dyDescent="0.2">
      <c r="E12" s="118"/>
      <c r="F12" s="141" t="s">
        <v>199</v>
      </c>
      <c r="G12" s="8">
        <v>4</v>
      </c>
      <c r="H12" s="52" t="str">
        <f>IF('SDQ Period 4'!D6="", "", 'SDQ Period 4'!D6)</f>
        <v/>
      </c>
    </row>
    <row r="13" spans="5:8" x14ac:dyDescent="0.2">
      <c r="E13" s="118"/>
      <c r="F13" s="141" t="s">
        <v>199</v>
      </c>
      <c r="G13" s="8">
        <v>5</v>
      </c>
      <c r="H13" s="52" t="str">
        <f>IF('SDQ Period 5'!D6="", "", 'SDQ Period 5'!D6)</f>
        <v/>
      </c>
    </row>
    <row r="14" spans="5:8" x14ac:dyDescent="0.2">
      <c r="E14" s="118"/>
      <c r="F14" s="141" t="s">
        <v>199</v>
      </c>
      <c r="G14" s="8">
        <v>6</v>
      </c>
      <c r="H14" s="52" t="str">
        <f>IF('SDQ Period 6'!D6="", "", 'SDQ Period 6'!D6)</f>
        <v/>
      </c>
    </row>
    <row r="15" spans="5:8" x14ac:dyDescent="0.2">
      <c r="E15" s="118"/>
      <c r="F15" s="141" t="s">
        <v>199</v>
      </c>
      <c r="G15" s="8">
        <v>7</v>
      </c>
      <c r="H15" s="52" t="str">
        <f>IF('SDQ Period 1'!D7="", "", 'SDQ Period 1'!D7)</f>
        <v/>
      </c>
    </row>
    <row r="16" spans="5:8" x14ac:dyDescent="0.2">
      <c r="E16" s="118"/>
      <c r="F16" s="141" t="s">
        <v>199</v>
      </c>
      <c r="G16" s="8">
        <v>8</v>
      </c>
      <c r="H16" s="52" t="str">
        <f>IF('SDQ Period 8'!D6="", "", 'SDQ Period 8'!D6)</f>
        <v/>
      </c>
    </row>
    <row r="17" spans="5:8" ht="16" thickBot="1" x14ac:dyDescent="0.25">
      <c r="E17" s="135"/>
      <c r="F17" s="142" t="s">
        <v>199</v>
      </c>
      <c r="G17" s="136">
        <v>9</v>
      </c>
      <c r="H17" s="54" t="str">
        <f>IF('SDQ Period 9'!D6="", "", 'SDQ Period 9'!D6)</f>
        <v/>
      </c>
    </row>
    <row r="18" spans="5:8" ht="16" thickBot="1" x14ac:dyDescent="0.25"/>
    <row r="19" spans="5:8" ht="16" thickBot="1" x14ac:dyDescent="0.25">
      <c r="H19" s="85" t="str" cm="1">
        <f t="array" ref="H19">IF(COUNT(H9:H17)&lt;2, "", IF(SUMPRODUCT((ISNUMBER(H10:H17))*(ISNUMBER(H9:H16))*(H10:H17&lt;H9:H16))&gt;0, "⚠️ Not in Order", "✓ All in Order"))</f>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H1" workbookViewId="0">
      <selection activeCell="F6" sqref="F6:F15"/>
    </sheetView>
  </sheetViews>
  <sheetFormatPr baseColWidth="10" defaultColWidth="8.83203125" defaultRowHeight="15" x14ac:dyDescent="0.2"/>
  <cols>
    <col min="2" max="2" width="21.5" bestFit="1" customWidth="1"/>
    <col min="3" max="4" width="18.5" customWidth="1"/>
    <col min="5" max="7" width="19.5" customWidth="1"/>
    <col min="8" max="10" width="17.1640625" customWidth="1"/>
    <col min="11" max="14" width="14.6640625" customWidth="1"/>
  </cols>
  <sheetData>
    <row r="4" spans="2:18" x14ac:dyDescent="0.2">
      <c r="B4" s="127" t="s">
        <v>2</v>
      </c>
      <c r="C4" s="162" t="s">
        <v>210</v>
      </c>
      <c r="D4" s="163"/>
      <c r="E4" s="164"/>
      <c r="F4" s="162" t="s">
        <v>211</v>
      </c>
      <c r="G4" s="163"/>
      <c r="H4" s="164"/>
      <c r="I4" s="162" t="s">
        <v>19</v>
      </c>
      <c r="J4" s="163"/>
      <c r="K4" s="164"/>
      <c r="L4" s="162" t="s">
        <v>20</v>
      </c>
      <c r="M4" s="163"/>
      <c r="N4" s="164"/>
      <c r="O4" s="165" t="s">
        <v>191</v>
      </c>
      <c r="P4" s="166"/>
      <c r="Q4" s="166"/>
      <c r="R4" s="167"/>
    </row>
    <row r="5" spans="2:18" x14ac:dyDescent="0.2">
      <c r="B5" s="127"/>
      <c r="C5" s="128" t="s">
        <v>75</v>
      </c>
      <c r="D5" s="128" t="s">
        <v>76</v>
      </c>
      <c r="E5" s="128" t="s">
        <v>77</v>
      </c>
      <c r="F5" s="128" t="s">
        <v>75</v>
      </c>
      <c r="G5" s="128" t="s">
        <v>76</v>
      </c>
      <c r="H5" s="128" t="s">
        <v>77</v>
      </c>
      <c r="I5" s="128" t="s">
        <v>75</v>
      </c>
      <c r="J5" s="128" t="s">
        <v>76</v>
      </c>
      <c r="K5" s="128" t="s">
        <v>77</v>
      </c>
      <c r="L5" s="128" t="s">
        <v>75</v>
      </c>
      <c r="M5" s="128" t="s">
        <v>76</v>
      </c>
      <c r="N5" s="128" t="s">
        <v>77</v>
      </c>
      <c r="O5" s="168"/>
      <c r="P5" s="169"/>
      <c r="Q5" s="169"/>
      <c r="R5" s="170"/>
    </row>
    <row r="6" spans="2:18" x14ac:dyDescent="0.2">
      <c r="B6" s="127" t="s">
        <v>3</v>
      </c>
      <c r="C6" s="125">
        <f>'SDQ Period 1'!K15</f>
        <v>7</v>
      </c>
      <c r="D6" s="126">
        <f>'SDQ Period 2'!K15</f>
        <v>8</v>
      </c>
      <c r="E6" s="126">
        <f>'SDQ Period 3'!K15</f>
        <v>0</v>
      </c>
      <c r="F6" s="125">
        <f>'SDQ Period 1'!L15</f>
        <v>8</v>
      </c>
      <c r="G6" s="125">
        <f>'SDQ Period 2'!L15</f>
        <v>7</v>
      </c>
      <c r="H6" s="125">
        <f>'SDQ Period 3'!M15</f>
        <v>0</v>
      </c>
      <c r="I6" s="125">
        <f>'SDQ Period 1'!M15</f>
        <v>7</v>
      </c>
      <c r="J6" s="125">
        <f>'SDQ Period 2'!M15</f>
        <v>7</v>
      </c>
      <c r="K6" s="125">
        <f>'SDQ Period 3'!M15</f>
        <v>0</v>
      </c>
      <c r="L6" s="126">
        <f>'SDQ Period 1'!N15</f>
        <v>7</v>
      </c>
      <c r="M6" s="126">
        <f>'SDQ Period 2'!N15</f>
        <v>7</v>
      </c>
      <c r="N6" s="126">
        <f>'SDQ Period 3'!N15</f>
        <v>0</v>
      </c>
      <c r="O6" s="79" t="s">
        <v>23</v>
      </c>
      <c r="P6" s="80">
        <v>4</v>
      </c>
      <c r="Q6" s="81" t="s">
        <v>24</v>
      </c>
      <c r="R6" s="82" t="s">
        <v>25</v>
      </c>
    </row>
    <row r="7" spans="2:18" x14ac:dyDescent="0.2">
      <c r="B7" s="127" t="s">
        <v>5</v>
      </c>
      <c r="C7" s="125">
        <f>'SDQ Period 1'!K16</f>
        <v>4</v>
      </c>
      <c r="D7" s="126">
        <f>'SDQ Period 2'!K16</f>
        <v>3</v>
      </c>
      <c r="E7" s="126">
        <f>'SDQ Period 3'!K16</f>
        <v>0</v>
      </c>
      <c r="F7" s="125">
        <f>'SDQ Period 1'!L16</f>
        <v>3</v>
      </c>
      <c r="G7" s="125">
        <f>'SDQ Period 2'!L16</f>
        <v>4</v>
      </c>
      <c r="H7" s="125">
        <f>'SDQ Period 3'!M16</f>
        <v>0</v>
      </c>
      <c r="I7" s="125">
        <f>'SDQ Period 1'!M16</f>
        <v>3</v>
      </c>
      <c r="J7" s="125">
        <f>'SDQ Period 2'!M16</f>
        <v>3</v>
      </c>
      <c r="K7" s="125">
        <f>'SDQ Period 3'!M16</f>
        <v>0</v>
      </c>
      <c r="L7" s="126">
        <f>'SDQ Period 1'!N16</f>
        <v>4</v>
      </c>
      <c r="M7" s="126">
        <f>'SDQ Period 2'!N16</f>
        <v>3</v>
      </c>
      <c r="N7" s="126">
        <f>'SDQ Period 3'!N16</f>
        <v>0</v>
      </c>
      <c r="O7" s="79" t="s">
        <v>27</v>
      </c>
      <c r="P7" s="80" t="s">
        <v>28</v>
      </c>
      <c r="Q7" s="81" t="s">
        <v>29</v>
      </c>
      <c r="R7" s="82" t="s">
        <v>30</v>
      </c>
    </row>
    <row r="8" spans="2:18" x14ac:dyDescent="0.2">
      <c r="B8" s="127" t="s">
        <v>4</v>
      </c>
      <c r="C8" s="125">
        <f>'SDQ Period 1'!K17</f>
        <v>2</v>
      </c>
      <c r="D8" s="126">
        <f>'SDQ Period 2'!K17</f>
        <v>3</v>
      </c>
      <c r="E8" s="126">
        <f>'SDQ Period 3'!K17</f>
        <v>0</v>
      </c>
      <c r="F8" s="125">
        <f>'SDQ Period 1'!L17</f>
        <v>3</v>
      </c>
      <c r="G8" s="125">
        <f>'SDQ Period 2'!L17</f>
        <v>2</v>
      </c>
      <c r="H8" s="125">
        <f>'SDQ Period 3'!M17</f>
        <v>0</v>
      </c>
      <c r="I8" s="125">
        <f>'SDQ Period 1'!M17</f>
        <v>6</v>
      </c>
      <c r="J8" s="125">
        <f>'SDQ Period 2'!M17</f>
        <v>6</v>
      </c>
      <c r="K8" s="125">
        <f>'SDQ Period 3'!M17</f>
        <v>0</v>
      </c>
      <c r="L8" s="126">
        <f>'SDQ Period 1'!N17</f>
        <v>5</v>
      </c>
      <c r="M8" s="126">
        <f>'SDQ Period 2'!N17</f>
        <v>6</v>
      </c>
      <c r="N8" s="126">
        <f>'SDQ Period 3'!N17</f>
        <v>0</v>
      </c>
      <c r="O8" s="79" t="s">
        <v>27</v>
      </c>
      <c r="P8" s="80" t="s">
        <v>28</v>
      </c>
      <c r="Q8" s="81" t="s">
        <v>32</v>
      </c>
      <c r="R8" s="82" t="s">
        <v>33</v>
      </c>
    </row>
    <row r="9" spans="2:18" x14ac:dyDescent="0.2">
      <c r="B9" s="127" t="s">
        <v>15</v>
      </c>
      <c r="C9" s="125">
        <f>'SDQ Period 1'!K18</f>
        <v>7</v>
      </c>
      <c r="D9" s="126">
        <f>'SDQ Period 2'!K18</f>
        <v>7</v>
      </c>
      <c r="E9" s="126">
        <f>'SDQ Period 3'!K18</f>
        <v>0</v>
      </c>
      <c r="F9" s="125">
        <f>'SDQ Period 1'!L18</f>
        <v>7</v>
      </c>
      <c r="G9" s="125">
        <f>'SDQ Period 2'!L18</f>
        <v>7</v>
      </c>
      <c r="H9" s="125">
        <f>'SDQ Period 3'!M18</f>
        <v>0</v>
      </c>
      <c r="I9" s="125">
        <f>'SDQ Period 1'!M18</f>
        <v>8</v>
      </c>
      <c r="J9" s="125">
        <f>'SDQ Period 2'!M18</f>
        <v>8</v>
      </c>
      <c r="K9" s="125">
        <f>'SDQ Period 3'!M18</f>
        <v>0</v>
      </c>
      <c r="L9" s="126">
        <f>'SDQ Period 1'!N18</f>
        <v>7</v>
      </c>
      <c r="M9" s="126">
        <f>'SDQ Period 2'!N18</f>
        <v>8</v>
      </c>
      <c r="N9" s="126">
        <f>'SDQ Period 3'!N18</f>
        <v>0</v>
      </c>
      <c r="O9" s="79" t="s">
        <v>35</v>
      </c>
      <c r="P9" s="80" t="s">
        <v>36</v>
      </c>
      <c r="Q9" s="81" t="s">
        <v>37</v>
      </c>
      <c r="R9" s="82" t="s">
        <v>38</v>
      </c>
    </row>
    <row r="10" spans="2:18" x14ac:dyDescent="0.2">
      <c r="B10" s="127" t="s">
        <v>40</v>
      </c>
      <c r="C10" s="125">
        <f>'SDQ Period 1'!K19</f>
        <v>20</v>
      </c>
      <c r="D10" s="126">
        <f>'SDQ Period 2'!K19</f>
        <v>21</v>
      </c>
      <c r="E10" s="126">
        <f>'SDQ Period 3'!K19</f>
        <v>0</v>
      </c>
      <c r="F10" s="125">
        <f>'SDQ Period 1'!L19</f>
        <v>21</v>
      </c>
      <c r="G10" s="125">
        <f>'SDQ Period 2'!L19</f>
        <v>20</v>
      </c>
      <c r="H10" s="125">
        <f>'SDQ Period 3'!M19</f>
        <v>0</v>
      </c>
      <c r="I10" s="125">
        <f>'SDQ Period 1'!M19</f>
        <v>24</v>
      </c>
      <c r="J10" s="125">
        <f>'SDQ Period 2'!M19</f>
        <v>24</v>
      </c>
      <c r="K10" s="125">
        <f>'SDQ Period 3'!M19</f>
        <v>0</v>
      </c>
      <c r="L10" s="126">
        <f>'SDQ Period 1'!N19</f>
        <v>23</v>
      </c>
      <c r="M10" s="126">
        <f>'SDQ Period 2'!N19</f>
        <v>24</v>
      </c>
      <c r="N10" s="126">
        <f>'SDQ Period 3'!N19</f>
        <v>0</v>
      </c>
      <c r="O10" s="79" t="s">
        <v>41</v>
      </c>
      <c r="P10" s="80" t="s">
        <v>42</v>
      </c>
      <c r="Q10" s="81" t="s">
        <v>43</v>
      </c>
      <c r="R10" s="82" t="s">
        <v>44</v>
      </c>
    </row>
    <row r="11" spans="2:18" x14ac:dyDescent="0.2">
      <c r="B11" s="127" t="s">
        <v>46</v>
      </c>
      <c r="C11" s="125">
        <f>'SDQ Period 1'!K20</f>
        <v>11</v>
      </c>
      <c r="D11" s="126">
        <f>'SDQ Period 2'!K20</f>
        <v>11</v>
      </c>
      <c r="E11" s="126">
        <f>'SDQ Period 3'!K20</f>
        <v>0</v>
      </c>
      <c r="F11" s="125">
        <f>'SDQ Period 1'!L20</f>
        <v>11</v>
      </c>
      <c r="G11" s="125">
        <f>'SDQ Period 2'!L20</f>
        <v>11</v>
      </c>
      <c r="H11" s="125">
        <f>'SDQ Period 3'!M20</f>
        <v>0</v>
      </c>
      <c r="I11" s="125">
        <f>'SDQ Period 1'!M20</f>
        <v>10</v>
      </c>
      <c r="J11" s="125">
        <f>'SDQ Period 2'!M20</f>
        <v>10</v>
      </c>
      <c r="K11" s="125">
        <f>'SDQ Period 3'!M20</f>
        <v>0</v>
      </c>
      <c r="L11" s="126">
        <f>'SDQ Period 1'!N20</f>
        <v>11</v>
      </c>
      <c r="M11" s="126">
        <f>'SDQ Period 2'!N20</f>
        <v>10</v>
      </c>
      <c r="N11" s="126">
        <f>'SDQ Period 3'!N20</f>
        <v>0</v>
      </c>
      <c r="O11" s="79" t="s">
        <v>23</v>
      </c>
      <c r="P11" s="80" t="s">
        <v>47</v>
      </c>
      <c r="Q11" s="81" t="s">
        <v>48</v>
      </c>
      <c r="R11" s="82" t="s">
        <v>49</v>
      </c>
    </row>
    <row r="12" spans="2:18" x14ac:dyDescent="0.2">
      <c r="B12" s="127" t="s">
        <v>51</v>
      </c>
      <c r="C12" s="125">
        <f>'SDQ Period 1'!K21</f>
        <v>9</v>
      </c>
      <c r="D12" s="126">
        <f>'SDQ Period 2'!K21</f>
        <v>10</v>
      </c>
      <c r="E12" s="126">
        <f>'SDQ Period 3'!K21</f>
        <v>0</v>
      </c>
      <c r="F12" s="125">
        <f>'SDQ Period 1'!L21</f>
        <v>10</v>
      </c>
      <c r="G12" s="125">
        <f>'SDQ Period 2'!L21</f>
        <v>9</v>
      </c>
      <c r="H12" s="125">
        <f>'SDQ Period 3'!M21</f>
        <v>0</v>
      </c>
      <c r="I12" s="125">
        <f>'SDQ Period 1'!M21</f>
        <v>14</v>
      </c>
      <c r="J12" s="125">
        <f>'SDQ Period 2'!M21</f>
        <v>14</v>
      </c>
      <c r="K12" s="125">
        <f>'SDQ Period 3'!M21</f>
        <v>0</v>
      </c>
      <c r="L12" s="126">
        <f>'SDQ Period 1'!N21</f>
        <v>12</v>
      </c>
      <c r="M12" s="126">
        <f>'SDQ Period 2'!N21</f>
        <v>14</v>
      </c>
      <c r="N12" s="126">
        <f>'SDQ Period 3'!N21</f>
        <v>0</v>
      </c>
      <c r="O12" s="79" t="s">
        <v>52</v>
      </c>
      <c r="P12" s="80" t="s">
        <v>48</v>
      </c>
      <c r="Q12" s="81" t="s">
        <v>53</v>
      </c>
      <c r="R12" s="82" t="s">
        <v>54</v>
      </c>
    </row>
    <row r="13" spans="2:18" x14ac:dyDescent="0.2">
      <c r="B13" s="127" t="s">
        <v>56</v>
      </c>
      <c r="C13" s="125">
        <f>'SDQ Period 1'!K22</f>
        <v>0</v>
      </c>
      <c r="D13" s="126">
        <f>'SDQ Period 2'!K22</f>
        <v>0</v>
      </c>
      <c r="E13" s="126">
        <f>'SDQ Period 3'!K22</f>
        <v>0</v>
      </c>
      <c r="F13" s="125">
        <f>'SDQ Period 1'!L22</f>
        <v>0</v>
      </c>
      <c r="G13" s="125">
        <f>'SDQ Period 2'!L22</f>
        <v>0</v>
      </c>
      <c r="H13" s="125">
        <f>'SDQ Period 3'!M22</f>
        <v>0</v>
      </c>
      <c r="I13" s="125">
        <f>'SDQ Period 1'!M22</f>
        <v>0</v>
      </c>
      <c r="J13" s="125">
        <f>'SDQ Period 2'!M22</f>
        <v>0</v>
      </c>
      <c r="K13" s="125">
        <f>'SDQ Period 3'!M22</f>
        <v>0</v>
      </c>
      <c r="L13" s="126">
        <f>'SDQ Period 1'!N22</f>
        <v>0</v>
      </c>
      <c r="M13" s="126">
        <f>'SDQ Period 2'!N22</f>
        <v>0</v>
      </c>
      <c r="N13" s="126">
        <f>'SDQ Period 3'!N22</f>
        <v>0</v>
      </c>
      <c r="O13" s="79" t="s">
        <v>23</v>
      </c>
      <c r="P13" s="80" t="s">
        <v>29</v>
      </c>
      <c r="Q13" s="81" t="s">
        <v>24</v>
      </c>
      <c r="R13" s="82" t="s">
        <v>25</v>
      </c>
    </row>
    <row r="14" spans="2:18" x14ac:dyDescent="0.2">
      <c r="B14" s="127"/>
      <c r="C14" s="125">
        <f>'SDQ Period 1'!K23</f>
        <v>0</v>
      </c>
      <c r="D14" s="126">
        <f>'SDQ Period 2'!K23</f>
        <v>0</v>
      </c>
      <c r="E14" s="126">
        <f>'SDQ Period 3'!K23</f>
        <v>0</v>
      </c>
      <c r="F14" s="125">
        <f>'SDQ Period 1'!L23</f>
        <v>0</v>
      </c>
      <c r="G14" s="125">
        <f>'SDQ Period 2'!L23</f>
        <v>0</v>
      </c>
      <c r="H14" s="125">
        <f>'SDQ Period 3'!M23</f>
        <v>0</v>
      </c>
      <c r="I14" s="125">
        <f>'SDQ Period 1'!M23</f>
        <v>0</v>
      </c>
      <c r="J14" s="125">
        <f>'SDQ Period 2'!M23</f>
        <v>0</v>
      </c>
      <c r="K14" s="125">
        <f>'SDQ Period 3'!M23</f>
        <v>0</v>
      </c>
      <c r="L14" s="126">
        <f>'SDQ Period 1'!N23</f>
        <v>0</v>
      </c>
      <c r="M14" s="126">
        <f>'SDQ Period 2'!N23</f>
        <v>0</v>
      </c>
      <c r="N14" s="126">
        <f>'SDQ Period 3'!N23</f>
        <v>0</v>
      </c>
      <c r="O14" s="83"/>
      <c r="P14" s="83"/>
      <c r="Q14" s="83"/>
      <c r="R14" s="83"/>
    </row>
    <row r="15" spans="2:18" x14ac:dyDescent="0.2">
      <c r="B15" s="127" t="s">
        <v>13</v>
      </c>
      <c r="C15" s="125">
        <f>'SDQ Period 1'!K24</f>
        <v>6</v>
      </c>
      <c r="D15" s="126">
        <f>'SDQ Period 2'!K24</f>
        <v>6</v>
      </c>
      <c r="E15" s="126">
        <f>'SDQ Period 3'!K24</f>
        <v>0</v>
      </c>
      <c r="F15" s="125">
        <f>'SDQ Period 1'!L24</f>
        <v>6</v>
      </c>
      <c r="G15" s="125">
        <f>'SDQ Period 2'!L24</f>
        <v>6</v>
      </c>
      <c r="H15" s="125">
        <f>'SDQ Period 3'!M24</f>
        <v>0</v>
      </c>
      <c r="I15" s="125">
        <f>'SDQ Period 1'!M24</f>
        <v>6</v>
      </c>
      <c r="J15" s="125">
        <f>'SDQ Period 2'!M24</f>
        <v>8</v>
      </c>
      <c r="K15" s="125">
        <f>'SDQ Period 3'!M24</f>
        <v>0</v>
      </c>
      <c r="L15" s="126">
        <f>'SDQ Period 1'!N24</f>
        <v>6</v>
      </c>
      <c r="M15" s="126">
        <f>'SDQ Period 2'!N24</f>
        <v>6</v>
      </c>
      <c r="N15" s="126">
        <f>'SDQ Period 3'!N24</f>
        <v>0</v>
      </c>
      <c r="O15" s="79" t="s">
        <v>48</v>
      </c>
      <c r="P15" s="80" t="s">
        <v>59</v>
      </c>
      <c r="Q15" s="81" t="s">
        <v>60</v>
      </c>
      <c r="R15" s="82"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baseColWidth="10" defaultColWidth="8.83203125" defaultRowHeight="15" x14ac:dyDescent="0.2"/>
  <cols>
    <col min="2" max="2" width="21.5" bestFit="1" customWidth="1"/>
    <col min="3" max="4" width="18.5" customWidth="1"/>
    <col min="5" max="10" width="19.5" customWidth="1"/>
    <col min="11" max="16" width="17.1640625" customWidth="1"/>
    <col min="17" max="26" width="14.6640625" customWidth="1"/>
  </cols>
  <sheetData>
    <row r="4" spans="2:30" x14ac:dyDescent="0.2">
      <c r="B4" s="127" t="s">
        <v>2</v>
      </c>
      <c r="C4" s="162" t="s">
        <v>210</v>
      </c>
      <c r="D4" s="163"/>
      <c r="E4" s="163"/>
      <c r="F4" s="163"/>
      <c r="G4" s="163"/>
      <c r="H4" s="164"/>
      <c r="I4" s="162" t="s">
        <v>212</v>
      </c>
      <c r="J4" s="163"/>
      <c r="K4" s="163"/>
      <c r="L4" s="163"/>
      <c r="M4" s="163"/>
      <c r="N4" s="164"/>
      <c r="O4" s="162" t="s">
        <v>189</v>
      </c>
      <c r="P4" s="163"/>
      <c r="Q4" s="163"/>
      <c r="R4" s="163"/>
      <c r="S4" s="163"/>
      <c r="T4" s="164"/>
      <c r="U4" s="162" t="s">
        <v>190</v>
      </c>
      <c r="V4" s="163"/>
      <c r="W4" s="163"/>
      <c r="X4" s="163"/>
      <c r="Y4" s="163"/>
      <c r="Z4" s="164"/>
      <c r="AA4" s="165" t="s">
        <v>191</v>
      </c>
      <c r="AB4" s="166"/>
      <c r="AC4" s="166"/>
      <c r="AD4" s="167"/>
    </row>
    <row r="5" spans="2:30" x14ac:dyDescent="0.2">
      <c r="B5" s="127"/>
      <c r="C5" s="128" t="s">
        <v>75</v>
      </c>
      <c r="D5" s="128" t="s">
        <v>76</v>
      </c>
      <c r="E5" s="128" t="s">
        <v>77</v>
      </c>
      <c r="F5" s="128" t="s">
        <v>79</v>
      </c>
      <c r="G5" s="128" t="s">
        <v>80</v>
      </c>
      <c r="H5" s="128" t="s">
        <v>81</v>
      </c>
      <c r="I5" s="128" t="s">
        <v>75</v>
      </c>
      <c r="J5" s="128" t="s">
        <v>76</v>
      </c>
      <c r="K5" s="128" t="s">
        <v>77</v>
      </c>
      <c r="L5" s="128" t="s">
        <v>79</v>
      </c>
      <c r="M5" s="128" t="s">
        <v>80</v>
      </c>
      <c r="N5" s="128" t="s">
        <v>81</v>
      </c>
      <c r="O5" s="128" t="s">
        <v>75</v>
      </c>
      <c r="P5" s="128" t="s">
        <v>76</v>
      </c>
      <c r="Q5" s="128" t="s">
        <v>77</v>
      </c>
      <c r="R5" s="128" t="s">
        <v>79</v>
      </c>
      <c r="S5" s="128" t="s">
        <v>80</v>
      </c>
      <c r="T5" s="128" t="s">
        <v>81</v>
      </c>
      <c r="U5" s="128" t="s">
        <v>75</v>
      </c>
      <c r="V5" s="128" t="s">
        <v>76</v>
      </c>
      <c r="W5" s="128" t="s">
        <v>77</v>
      </c>
      <c r="X5" s="128" t="s">
        <v>79</v>
      </c>
      <c r="Y5" s="128" t="s">
        <v>80</v>
      </c>
      <c r="Z5" s="128" t="s">
        <v>81</v>
      </c>
      <c r="AA5" s="168"/>
      <c r="AB5" s="169"/>
      <c r="AC5" s="169"/>
      <c r="AD5" s="170"/>
    </row>
    <row r="6" spans="2:30" x14ac:dyDescent="0.2">
      <c r="B6" s="127" t="s">
        <v>3</v>
      </c>
      <c r="C6" s="125">
        <f>'SDQ Period 1'!K15</f>
        <v>7</v>
      </c>
      <c r="D6" s="126">
        <f>'SDQ Period 2'!K15</f>
        <v>8</v>
      </c>
      <c r="E6" s="126">
        <f>'SDQ Period 3'!K15</f>
        <v>0</v>
      </c>
      <c r="F6" s="126">
        <f>'SDQ Period 4'!K15</f>
        <v>0</v>
      </c>
      <c r="G6" s="126">
        <f>'SDQ Period 5'!K15</f>
        <v>0</v>
      </c>
      <c r="H6" s="126">
        <f>'SDQ Period 6'!K15</f>
        <v>0</v>
      </c>
      <c r="I6" s="125">
        <f>'SDQ Period 1'!L15</f>
        <v>8</v>
      </c>
      <c r="J6" s="125">
        <f>'SDQ Period 2'!L15</f>
        <v>7</v>
      </c>
      <c r="K6" s="125">
        <f>'SDQ Period 3'!L15</f>
        <v>0</v>
      </c>
      <c r="L6" s="125">
        <f>'SDQ Period 4'!L15</f>
        <v>0</v>
      </c>
      <c r="M6" s="125">
        <f>'SDQ Period 5'!L15</f>
        <v>0</v>
      </c>
      <c r="N6" s="125">
        <f>'SDQ Period 6'!L15</f>
        <v>0</v>
      </c>
      <c r="O6" s="125">
        <f>'SDQ Period 1'!G15</f>
        <v>2</v>
      </c>
      <c r="P6" s="125">
        <f>'SDQ Period 2'!G15</f>
        <v>2</v>
      </c>
      <c r="Q6" s="125">
        <f>'SDQ Period 3'!G15</f>
        <v>0</v>
      </c>
      <c r="R6" s="125">
        <f>'SDQ Period 4'!N15</f>
        <v>0</v>
      </c>
      <c r="S6" s="125">
        <f>'SDQ Period 5'!N15</f>
        <v>0</v>
      </c>
      <c r="T6" s="125">
        <f>'SDQ Period 6'!N15</f>
        <v>0</v>
      </c>
      <c r="U6" s="126">
        <f>'SDQ Period 1'!N15</f>
        <v>7</v>
      </c>
      <c r="V6" s="126">
        <f>'SDQ Period 3'!N15</f>
        <v>0</v>
      </c>
      <c r="W6" s="126">
        <f>'SDQ Period 3'!N15</f>
        <v>0</v>
      </c>
      <c r="X6" s="126">
        <f>'SDQ Period 4'!N15</f>
        <v>0</v>
      </c>
      <c r="Y6" s="126">
        <f>'SDQ Period 5'!N15</f>
        <v>0</v>
      </c>
      <c r="Z6" s="126">
        <f>'SDQ Period 6'!N15</f>
        <v>0</v>
      </c>
      <c r="AA6" s="79" t="s">
        <v>23</v>
      </c>
      <c r="AB6" s="80">
        <v>4</v>
      </c>
      <c r="AC6" s="81" t="s">
        <v>24</v>
      </c>
      <c r="AD6" s="82" t="s">
        <v>25</v>
      </c>
    </row>
    <row r="7" spans="2:30" x14ac:dyDescent="0.2">
      <c r="B7" s="127" t="s">
        <v>5</v>
      </c>
      <c r="C7" s="125">
        <f>'SDQ Period 1'!K16</f>
        <v>4</v>
      </c>
      <c r="D7" s="126">
        <f>'SDQ Period 2'!K16</f>
        <v>3</v>
      </c>
      <c r="E7" s="126">
        <f>'SDQ Period 3'!K16</f>
        <v>0</v>
      </c>
      <c r="F7" s="126">
        <f>'SDQ Period 4'!K16</f>
        <v>0</v>
      </c>
      <c r="G7" s="126">
        <f>'SDQ Period 5'!K16</f>
        <v>0</v>
      </c>
      <c r="H7" s="126">
        <f>'SDQ Period 6'!K16</f>
        <v>0</v>
      </c>
      <c r="I7" s="125">
        <f>'SDQ Period 1'!L16</f>
        <v>3</v>
      </c>
      <c r="J7" s="125">
        <f>'SDQ Period 2'!L16</f>
        <v>4</v>
      </c>
      <c r="K7" s="125">
        <f>'SDQ Period 3'!L16</f>
        <v>0</v>
      </c>
      <c r="L7" s="125">
        <f>'SDQ Period 4'!L16</f>
        <v>0</v>
      </c>
      <c r="M7" s="125">
        <f>'SDQ Period 5'!L16</f>
        <v>0</v>
      </c>
      <c r="N7" s="125">
        <f>'SDQ Period 6'!L16</f>
        <v>0</v>
      </c>
      <c r="O7" s="125">
        <f>'SDQ Period 1'!G16</f>
        <v>0</v>
      </c>
      <c r="P7" s="125">
        <f>'SDQ Period 2'!G16</f>
        <v>0</v>
      </c>
      <c r="Q7" s="125">
        <f>'SDQ Period 3'!G16</f>
        <v>0</v>
      </c>
      <c r="R7" s="125">
        <f>'SDQ Period 4'!N16</f>
        <v>0</v>
      </c>
      <c r="S7" s="125">
        <f>'SDQ Period 5'!N16</f>
        <v>0</v>
      </c>
      <c r="T7" s="125">
        <f>'SDQ Period 6'!N16</f>
        <v>0</v>
      </c>
      <c r="U7" s="126">
        <f>'SDQ Period 1'!N16</f>
        <v>4</v>
      </c>
      <c r="V7" s="126">
        <f>'SDQ Period 3'!N16</f>
        <v>0</v>
      </c>
      <c r="W7" s="126">
        <f>'SDQ Period 3'!N16</f>
        <v>0</v>
      </c>
      <c r="X7" s="126">
        <f>'SDQ Period 4'!N16</f>
        <v>0</v>
      </c>
      <c r="Y7" s="126">
        <f>'SDQ Period 5'!N16</f>
        <v>0</v>
      </c>
      <c r="Z7" s="126">
        <f>'SDQ Period 6'!N16</f>
        <v>0</v>
      </c>
      <c r="AA7" s="79" t="s">
        <v>27</v>
      </c>
      <c r="AB7" s="80" t="s">
        <v>28</v>
      </c>
      <c r="AC7" s="81" t="s">
        <v>29</v>
      </c>
      <c r="AD7" s="82" t="s">
        <v>30</v>
      </c>
    </row>
    <row r="8" spans="2:30" x14ac:dyDescent="0.2">
      <c r="B8" s="127" t="s">
        <v>4</v>
      </c>
      <c r="C8" s="125">
        <f>'SDQ Period 1'!K17</f>
        <v>2</v>
      </c>
      <c r="D8" s="126">
        <f>'SDQ Period 2'!K17</f>
        <v>3</v>
      </c>
      <c r="E8" s="126">
        <f>'SDQ Period 3'!K17</f>
        <v>0</v>
      </c>
      <c r="F8" s="126">
        <f>'SDQ Period 4'!K17</f>
        <v>0</v>
      </c>
      <c r="G8" s="126">
        <f>'SDQ Period 5'!K17</f>
        <v>0</v>
      </c>
      <c r="H8" s="126">
        <f>'SDQ Period 6'!K17</f>
        <v>0</v>
      </c>
      <c r="I8" s="125">
        <f>'SDQ Period 1'!L17</f>
        <v>3</v>
      </c>
      <c r="J8" s="125">
        <f>'SDQ Period 2'!L17</f>
        <v>2</v>
      </c>
      <c r="K8" s="125">
        <f>'SDQ Period 3'!L17</f>
        <v>0</v>
      </c>
      <c r="L8" s="125">
        <f>'SDQ Period 4'!L17</f>
        <v>0</v>
      </c>
      <c r="M8" s="125">
        <f>'SDQ Period 5'!L17</f>
        <v>0</v>
      </c>
      <c r="N8" s="125">
        <f>'SDQ Period 6'!L17</f>
        <v>0</v>
      </c>
      <c r="O8" s="125">
        <f>'SDQ Period 1'!G17</f>
        <v>0</v>
      </c>
      <c r="P8" s="125">
        <f>'SDQ Period 2'!G17</f>
        <v>0</v>
      </c>
      <c r="Q8" s="125">
        <f>'SDQ Period 3'!G17</f>
        <v>0</v>
      </c>
      <c r="R8" s="125">
        <f>'SDQ Period 4'!N17</f>
        <v>0</v>
      </c>
      <c r="S8" s="125">
        <f>'SDQ Period 5'!N17</f>
        <v>0</v>
      </c>
      <c r="T8" s="125">
        <f>'SDQ Period 6'!N17</f>
        <v>0</v>
      </c>
      <c r="U8" s="126">
        <f>'SDQ Period 1'!N17</f>
        <v>5</v>
      </c>
      <c r="V8" s="126">
        <f>'SDQ Period 3'!N17</f>
        <v>0</v>
      </c>
      <c r="W8" s="126">
        <f>'SDQ Period 3'!N17</f>
        <v>0</v>
      </c>
      <c r="X8" s="126">
        <f>'SDQ Period 4'!N17</f>
        <v>0</v>
      </c>
      <c r="Y8" s="126">
        <f>'SDQ Period 5'!N17</f>
        <v>0</v>
      </c>
      <c r="Z8" s="126">
        <f>'SDQ Period 6'!N17</f>
        <v>0</v>
      </c>
      <c r="AA8" s="79" t="s">
        <v>27</v>
      </c>
      <c r="AB8" s="80" t="s">
        <v>28</v>
      </c>
      <c r="AC8" s="81" t="s">
        <v>32</v>
      </c>
      <c r="AD8" s="82" t="s">
        <v>33</v>
      </c>
    </row>
    <row r="9" spans="2:30" x14ac:dyDescent="0.2">
      <c r="B9" s="127" t="s">
        <v>15</v>
      </c>
      <c r="C9" s="125">
        <f>'SDQ Period 1'!K18</f>
        <v>7</v>
      </c>
      <c r="D9" s="126">
        <f>'SDQ Period 2'!K18</f>
        <v>7</v>
      </c>
      <c r="E9" s="126">
        <f>'SDQ Period 3'!K18</f>
        <v>0</v>
      </c>
      <c r="F9" s="126">
        <f>'SDQ Period 4'!K18</f>
        <v>0</v>
      </c>
      <c r="G9" s="126">
        <f>'SDQ Period 5'!K18</f>
        <v>0</v>
      </c>
      <c r="H9" s="126">
        <f>'SDQ Period 6'!K18</f>
        <v>0</v>
      </c>
      <c r="I9" s="125">
        <f>'SDQ Period 1'!L18</f>
        <v>7</v>
      </c>
      <c r="J9" s="125">
        <f>'SDQ Period 2'!L18</f>
        <v>7</v>
      </c>
      <c r="K9" s="125">
        <f>'SDQ Period 3'!L18</f>
        <v>0</v>
      </c>
      <c r="L9" s="125">
        <f>'SDQ Period 4'!L18</f>
        <v>0</v>
      </c>
      <c r="M9" s="125">
        <f>'SDQ Period 5'!L18</f>
        <v>0</v>
      </c>
      <c r="N9" s="125">
        <f>'SDQ Period 6'!L18</f>
        <v>0</v>
      </c>
      <c r="O9" s="125">
        <f>'SDQ Period 1'!G18</f>
        <v>0</v>
      </c>
      <c r="P9" s="125">
        <f>'SDQ Period 2'!G18</f>
        <v>0</v>
      </c>
      <c r="Q9" s="125">
        <f>'SDQ Period 3'!G18</f>
        <v>0</v>
      </c>
      <c r="R9" s="125">
        <f>'SDQ Period 4'!N18</f>
        <v>0</v>
      </c>
      <c r="S9" s="125">
        <f>'SDQ Period 5'!N18</f>
        <v>0</v>
      </c>
      <c r="T9" s="125">
        <f>'SDQ Period 6'!N18</f>
        <v>0</v>
      </c>
      <c r="U9" s="126">
        <f>'SDQ Period 1'!N18</f>
        <v>7</v>
      </c>
      <c r="V9" s="126">
        <f>'SDQ Period 3'!N18</f>
        <v>0</v>
      </c>
      <c r="W9" s="126">
        <f>'SDQ Period 3'!N18</f>
        <v>0</v>
      </c>
      <c r="X9" s="126">
        <f>'SDQ Period 4'!N18</f>
        <v>0</v>
      </c>
      <c r="Y9" s="126">
        <f>'SDQ Period 5'!N18</f>
        <v>0</v>
      </c>
      <c r="Z9" s="126">
        <f>'SDQ Period 6'!N18</f>
        <v>0</v>
      </c>
      <c r="AA9" s="79" t="s">
        <v>35</v>
      </c>
      <c r="AB9" s="80" t="s">
        <v>36</v>
      </c>
      <c r="AC9" s="81" t="s">
        <v>37</v>
      </c>
      <c r="AD9" s="82" t="s">
        <v>38</v>
      </c>
    </row>
    <row r="10" spans="2:30" x14ac:dyDescent="0.2">
      <c r="B10" s="127" t="s">
        <v>40</v>
      </c>
      <c r="C10" s="125">
        <f>'SDQ Period 1'!K19</f>
        <v>20</v>
      </c>
      <c r="D10" s="126">
        <f>'SDQ Period 2'!K19</f>
        <v>21</v>
      </c>
      <c r="E10" s="126">
        <f>'SDQ Period 3'!K19</f>
        <v>0</v>
      </c>
      <c r="F10" s="126">
        <f>'SDQ Period 4'!K19</f>
        <v>0</v>
      </c>
      <c r="G10" s="126">
        <f>'SDQ Period 5'!K19</f>
        <v>0</v>
      </c>
      <c r="H10" s="126">
        <f>'SDQ Period 6'!K19</f>
        <v>0</v>
      </c>
      <c r="I10" s="125">
        <f>'SDQ Period 1'!L19</f>
        <v>21</v>
      </c>
      <c r="J10" s="125">
        <f>'SDQ Period 2'!L19</f>
        <v>20</v>
      </c>
      <c r="K10" s="125">
        <f>'SDQ Period 3'!L19</f>
        <v>0</v>
      </c>
      <c r="L10" s="125">
        <f>'SDQ Period 4'!L19</f>
        <v>0</v>
      </c>
      <c r="M10" s="125">
        <f>'SDQ Period 5'!L19</f>
        <v>0</v>
      </c>
      <c r="N10" s="125">
        <f>'SDQ Period 6'!L19</f>
        <v>0</v>
      </c>
      <c r="O10" s="125">
        <f>'SDQ Period 1'!G19</f>
        <v>0</v>
      </c>
      <c r="P10" s="125">
        <f>'SDQ Period 2'!G19</f>
        <v>0</v>
      </c>
      <c r="Q10" s="125">
        <f>'SDQ Period 3'!G19</f>
        <v>0</v>
      </c>
      <c r="R10" s="125">
        <f>'SDQ Period 4'!N19</f>
        <v>0</v>
      </c>
      <c r="S10" s="125">
        <f>'SDQ Period 5'!N19</f>
        <v>0</v>
      </c>
      <c r="T10" s="125">
        <f>'SDQ Period 6'!N19</f>
        <v>0</v>
      </c>
      <c r="U10" s="126">
        <f>'SDQ Period 1'!N19</f>
        <v>23</v>
      </c>
      <c r="V10" s="126">
        <f>'SDQ Period 3'!N19</f>
        <v>0</v>
      </c>
      <c r="W10" s="126">
        <f>'SDQ Period 3'!N19</f>
        <v>0</v>
      </c>
      <c r="X10" s="126">
        <f>'SDQ Period 4'!N19</f>
        <v>0</v>
      </c>
      <c r="Y10" s="126">
        <f>'SDQ Period 5'!N19</f>
        <v>0</v>
      </c>
      <c r="Z10" s="126">
        <f>'SDQ Period 6'!N19</f>
        <v>0</v>
      </c>
      <c r="AA10" s="79" t="s">
        <v>41</v>
      </c>
      <c r="AB10" s="80" t="s">
        <v>42</v>
      </c>
      <c r="AC10" s="81" t="s">
        <v>43</v>
      </c>
      <c r="AD10" s="82" t="s">
        <v>44</v>
      </c>
    </row>
    <row r="11" spans="2:30" x14ac:dyDescent="0.2">
      <c r="B11" s="127" t="s">
        <v>46</v>
      </c>
      <c r="C11" s="125">
        <f>'SDQ Period 1'!K20</f>
        <v>11</v>
      </c>
      <c r="D11" s="126">
        <f>'SDQ Period 2'!K20</f>
        <v>11</v>
      </c>
      <c r="E11" s="126">
        <f>'SDQ Period 3'!K20</f>
        <v>0</v>
      </c>
      <c r="F11" s="126">
        <f>'SDQ Period 4'!K20</f>
        <v>0</v>
      </c>
      <c r="G11" s="126">
        <f>'SDQ Period 5'!K20</f>
        <v>0</v>
      </c>
      <c r="H11" s="126">
        <f>'SDQ Period 6'!K20</f>
        <v>0</v>
      </c>
      <c r="I11" s="125">
        <f>'SDQ Period 1'!L20</f>
        <v>11</v>
      </c>
      <c r="J11" s="125">
        <f>'SDQ Period 2'!L20</f>
        <v>11</v>
      </c>
      <c r="K11" s="125">
        <f>'SDQ Period 3'!L20</f>
        <v>0</v>
      </c>
      <c r="L11" s="125">
        <f>'SDQ Period 4'!L20</f>
        <v>0</v>
      </c>
      <c r="M11" s="125">
        <f>'SDQ Period 5'!L20</f>
        <v>0</v>
      </c>
      <c r="N11" s="125">
        <f>'SDQ Period 6'!L20</f>
        <v>0</v>
      </c>
      <c r="O11" s="125">
        <f>'SDQ Period 1'!G20</f>
        <v>2</v>
      </c>
      <c r="P11" s="125">
        <f>'SDQ Period 2'!G20</f>
        <v>2</v>
      </c>
      <c r="Q11" s="125">
        <f>'SDQ Period 3'!G20</f>
        <v>0</v>
      </c>
      <c r="R11" s="125">
        <f>'SDQ Period 4'!N20</f>
        <v>0</v>
      </c>
      <c r="S11" s="125">
        <f>'SDQ Period 5'!N20</f>
        <v>0</v>
      </c>
      <c r="T11" s="125">
        <f>'SDQ Period 6'!N20</f>
        <v>0</v>
      </c>
      <c r="U11" s="126">
        <f>'SDQ Period 1'!N20</f>
        <v>11</v>
      </c>
      <c r="V11" s="126">
        <f>'SDQ Period 3'!N20</f>
        <v>0</v>
      </c>
      <c r="W11" s="126">
        <f>'SDQ Period 3'!N20</f>
        <v>0</v>
      </c>
      <c r="X11" s="126">
        <f>'SDQ Period 4'!N20</f>
        <v>0</v>
      </c>
      <c r="Y11" s="126">
        <f>'SDQ Period 5'!N20</f>
        <v>0</v>
      </c>
      <c r="Z11" s="126">
        <f>'SDQ Period 6'!N20</f>
        <v>0</v>
      </c>
      <c r="AA11" s="79" t="s">
        <v>23</v>
      </c>
      <c r="AB11" s="80" t="s">
        <v>47</v>
      </c>
      <c r="AC11" s="81" t="s">
        <v>48</v>
      </c>
      <c r="AD11" s="82" t="s">
        <v>49</v>
      </c>
    </row>
    <row r="12" spans="2:30" x14ac:dyDescent="0.2">
      <c r="B12" s="127" t="s">
        <v>51</v>
      </c>
      <c r="C12" s="125">
        <f>'SDQ Period 1'!K21</f>
        <v>9</v>
      </c>
      <c r="D12" s="126">
        <f>'SDQ Period 2'!K21</f>
        <v>10</v>
      </c>
      <c r="E12" s="126">
        <f>'SDQ Period 3'!K21</f>
        <v>0</v>
      </c>
      <c r="F12" s="126">
        <f>'SDQ Period 4'!K21</f>
        <v>0</v>
      </c>
      <c r="G12" s="126">
        <f>'SDQ Period 5'!K21</f>
        <v>0</v>
      </c>
      <c r="H12" s="126">
        <f>'SDQ Period 6'!K21</f>
        <v>0</v>
      </c>
      <c r="I12" s="125">
        <f>'SDQ Period 1'!L21</f>
        <v>10</v>
      </c>
      <c r="J12" s="125">
        <f>'SDQ Period 2'!L21</f>
        <v>9</v>
      </c>
      <c r="K12" s="125">
        <f>'SDQ Period 3'!L21</f>
        <v>0</v>
      </c>
      <c r="L12" s="125">
        <f>'SDQ Period 4'!L21</f>
        <v>0</v>
      </c>
      <c r="M12" s="125">
        <f>'SDQ Period 5'!L21</f>
        <v>0</v>
      </c>
      <c r="N12" s="125">
        <f>'SDQ Period 6'!L21</f>
        <v>0</v>
      </c>
      <c r="O12" s="125">
        <f>'SDQ Period 1'!G21</f>
        <v>2</v>
      </c>
      <c r="P12" s="125">
        <f>'SDQ Period 2'!G21</f>
        <v>2</v>
      </c>
      <c r="Q12" s="125">
        <f>'SDQ Period 3'!G21</f>
        <v>0</v>
      </c>
      <c r="R12" s="125">
        <f>'SDQ Period 4'!N21</f>
        <v>0</v>
      </c>
      <c r="S12" s="125">
        <f>'SDQ Period 5'!N21</f>
        <v>0</v>
      </c>
      <c r="T12" s="125">
        <f>'SDQ Period 6'!N21</f>
        <v>0</v>
      </c>
      <c r="U12" s="126">
        <f>'SDQ Period 1'!N21</f>
        <v>12</v>
      </c>
      <c r="V12" s="126">
        <f>'SDQ Period 3'!N21</f>
        <v>0</v>
      </c>
      <c r="W12" s="126">
        <f>'SDQ Period 3'!N21</f>
        <v>0</v>
      </c>
      <c r="X12" s="126">
        <f>'SDQ Period 4'!N21</f>
        <v>0</v>
      </c>
      <c r="Y12" s="126">
        <f>'SDQ Period 5'!N21</f>
        <v>0</v>
      </c>
      <c r="Z12" s="126">
        <f>'SDQ Period 6'!N21</f>
        <v>0</v>
      </c>
      <c r="AA12" s="79" t="s">
        <v>52</v>
      </c>
      <c r="AB12" s="80" t="s">
        <v>48</v>
      </c>
      <c r="AC12" s="81" t="s">
        <v>53</v>
      </c>
      <c r="AD12" s="82" t="s">
        <v>54</v>
      </c>
    </row>
    <row r="13" spans="2:30" x14ac:dyDescent="0.2">
      <c r="B13" s="127" t="s">
        <v>56</v>
      </c>
      <c r="C13" s="125">
        <f>'SDQ Period 1'!K22</f>
        <v>0</v>
      </c>
      <c r="D13" s="126">
        <f>'SDQ Period 2'!K22</f>
        <v>0</v>
      </c>
      <c r="E13" s="126">
        <f>'SDQ Period 3'!K22</f>
        <v>0</v>
      </c>
      <c r="F13" s="126">
        <f>'SDQ Period 4'!K22</f>
        <v>0</v>
      </c>
      <c r="G13" s="126">
        <f>'SDQ Period 5'!K22</f>
        <v>0</v>
      </c>
      <c r="H13" s="126">
        <f>'SDQ Period 6'!K22</f>
        <v>0</v>
      </c>
      <c r="I13" s="125">
        <f>'SDQ Period 1'!L22</f>
        <v>0</v>
      </c>
      <c r="J13" s="125">
        <f>'SDQ Period 2'!L22</f>
        <v>0</v>
      </c>
      <c r="K13" s="125">
        <f>'SDQ Period 3'!L22</f>
        <v>0</v>
      </c>
      <c r="L13" s="125">
        <f>'SDQ Period 4'!L22</f>
        <v>0</v>
      </c>
      <c r="M13" s="125">
        <f>'SDQ Period 5'!L22</f>
        <v>0</v>
      </c>
      <c r="N13" s="125">
        <f>'SDQ Period 6'!L22</f>
        <v>0</v>
      </c>
      <c r="O13" s="125">
        <f>'SDQ Period 1'!G22</f>
        <v>0</v>
      </c>
      <c r="P13" s="125">
        <f>'SDQ Period 2'!G22</f>
        <v>0</v>
      </c>
      <c r="Q13" s="125">
        <f>'SDQ Period 3'!G22</f>
        <v>0</v>
      </c>
      <c r="R13" s="125">
        <f>'SDQ Period 4'!N22</f>
        <v>0</v>
      </c>
      <c r="S13" s="125">
        <f>'SDQ Period 5'!N22</f>
        <v>0</v>
      </c>
      <c r="T13" s="125">
        <f>'SDQ Period 6'!N22</f>
        <v>0</v>
      </c>
      <c r="U13" s="126">
        <f>'SDQ Period 1'!N22</f>
        <v>0</v>
      </c>
      <c r="V13" s="126">
        <f>'SDQ Period 3'!N22</f>
        <v>0</v>
      </c>
      <c r="W13" s="126">
        <f>'SDQ Period 3'!N22</f>
        <v>0</v>
      </c>
      <c r="X13" s="126">
        <f>'SDQ Period 4'!N22</f>
        <v>0</v>
      </c>
      <c r="Y13" s="126">
        <f>'SDQ Period 5'!N22</f>
        <v>0</v>
      </c>
      <c r="Z13" s="126">
        <f>'SDQ Period 6'!N22</f>
        <v>0</v>
      </c>
      <c r="AA13" s="79" t="s">
        <v>23</v>
      </c>
      <c r="AB13" s="80" t="s">
        <v>29</v>
      </c>
      <c r="AC13" s="81" t="s">
        <v>24</v>
      </c>
      <c r="AD13" s="82" t="s">
        <v>25</v>
      </c>
    </row>
    <row r="14" spans="2:30" x14ac:dyDescent="0.2">
      <c r="B14" s="127"/>
      <c r="C14" s="125">
        <f>'SDQ Period 1'!K23</f>
        <v>0</v>
      </c>
      <c r="D14" s="126">
        <f>'SDQ Period 2'!K23</f>
        <v>0</v>
      </c>
      <c r="E14" s="126">
        <f>'SDQ Period 3'!K23</f>
        <v>0</v>
      </c>
      <c r="F14" s="126">
        <f>'SDQ Period 4'!K23</f>
        <v>0</v>
      </c>
      <c r="G14" s="126">
        <f>'SDQ Period 5'!K23</f>
        <v>0</v>
      </c>
      <c r="H14" s="126">
        <f>'SDQ Period 6'!K23</f>
        <v>0</v>
      </c>
      <c r="I14" s="125">
        <f>'SDQ Period 1'!L23</f>
        <v>0</v>
      </c>
      <c r="J14" s="125">
        <f>'SDQ Period 2'!L23</f>
        <v>0</v>
      </c>
      <c r="K14" s="125">
        <f>'SDQ Period 3'!L23</f>
        <v>0</v>
      </c>
      <c r="L14" s="125">
        <f>'SDQ Period 4'!L23</f>
        <v>0</v>
      </c>
      <c r="M14" s="125">
        <f>'SDQ Period 5'!L23</f>
        <v>0</v>
      </c>
      <c r="N14" s="125">
        <f>'SDQ Period 6'!L23</f>
        <v>0</v>
      </c>
      <c r="O14" s="125">
        <f>'SDQ Period 1'!G23</f>
        <v>0</v>
      </c>
      <c r="P14" s="125">
        <f>'SDQ Period 2'!G23</f>
        <v>0</v>
      </c>
      <c r="Q14" s="125">
        <f>'SDQ Period 3'!G23</f>
        <v>0</v>
      </c>
      <c r="R14" s="125">
        <f>'SDQ Period 4'!N23</f>
        <v>0</v>
      </c>
      <c r="S14" s="125">
        <f>'SDQ Period 5'!N23</f>
        <v>0</v>
      </c>
      <c r="T14" s="125">
        <f>'SDQ Period 6'!N23</f>
        <v>0</v>
      </c>
      <c r="U14" s="126">
        <f>'SDQ Period 1'!N23</f>
        <v>0</v>
      </c>
      <c r="V14" s="126">
        <f>'SDQ Period 3'!N23</f>
        <v>0</v>
      </c>
      <c r="W14" s="126">
        <f>'SDQ Period 3'!N23</f>
        <v>0</v>
      </c>
      <c r="X14" s="126">
        <f>'SDQ Period 4'!N23</f>
        <v>0</v>
      </c>
      <c r="Y14" s="126">
        <f>'SDQ Period 5'!N23</f>
        <v>0</v>
      </c>
      <c r="Z14" s="126">
        <f>'SDQ Period 6'!N23</f>
        <v>0</v>
      </c>
      <c r="AA14" s="83"/>
      <c r="AB14" s="83"/>
      <c r="AC14" s="83"/>
      <c r="AD14" s="83"/>
    </row>
    <row r="15" spans="2:30" x14ac:dyDescent="0.2">
      <c r="B15" s="127" t="s">
        <v>13</v>
      </c>
      <c r="C15" s="125">
        <f>'SDQ Period 1'!K24</f>
        <v>6</v>
      </c>
      <c r="D15" s="126">
        <f>'SDQ Period 2'!K24</f>
        <v>6</v>
      </c>
      <c r="E15" s="126">
        <f>'SDQ Period 3'!K24</f>
        <v>0</v>
      </c>
      <c r="F15" s="126">
        <f>'SDQ Period 4'!K24</f>
        <v>0</v>
      </c>
      <c r="G15" s="126">
        <f>'SDQ Period 5'!K24</f>
        <v>0</v>
      </c>
      <c r="H15" s="126">
        <f>'SDQ Period 6'!K24</f>
        <v>0</v>
      </c>
      <c r="I15" s="125">
        <f>'SDQ Period 1'!L24</f>
        <v>6</v>
      </c>
      <c r="J15" s="125">
        <f>'SDQ Period 2'!L24</f>
        <v>6</v>
      </c>
      <c r="K15" s="125">
        <f>'SDQ Period 3'!L24</f>
        <v>0</v>
      </c>
      <c r="L15" s="125">
        <f>'SDQ Period 4'!L24</f>
        <v>0</v>
      </c>
      <c r="M15" s="125">
        <f>'SDQ Period 5'!L24</f>
        <v>0</v>
      </c>
      <c r="N15" s="125">
        <f>'SDQ Period 6'!L24</f>
        <v>0</v>
      </c>
      <c r="O15" s="125">
        <f>'SDQ Period 1'!G24</f>
        <v>0</v>
      </c>
      <c r="P15" s="125">
        <f>'SDQ Period 2'!G24</f>
        <v>2</v>
      </c>
      <c r="Q15" s="125">
        <f>'SDQ Period 3'!G24</f>
        <v>0</v>
      </c>
      <c r="R15" s="125">
        <f>'SDQ Period 4'!N24</f>
        <v>0</v>
      </c>
      <c r="S15" s="125">
        <f>'SDQ Period 5'!N24</f>
        <v>0</v>
      </c>
      <c r="T15" s="125">
        <f>'SDQ Period 6'!N24</f>
        <v>0</v>
      </c>
      <c r="U15" s="126">
        <f>'SDQ Period 1'!N24</f>
        <v>6</v>
      </c>
      <c r="V15" s="126">
        <f>'SDQ Period 3'!N24</f>
        <v>0</v>
      </c>
      <c r="W15" s="126">
        <f>'SDQ Period 3'!N24</f>
        <v>0</v>
      </c>
      <c r="X15" s="126">
        <f>'SDQ Period 4'!N24</f>
        <v>0</v>
      </c>
      <c r="Y15" s="126">
        <f>'SDQ Period 5'!N24</f>
        <v>0</v>
      </c>
      <c r="Z15" s="126">
        <f>'SDQ Period 6'!N24</f>
        <v>0</v>
      </c>
      <c r="AA15" s="79" t="s">
        <v>48</v>
      </c>
      <c r="AB15" s="80" t="s">
        <v>59</v>
      </c>
      <c r="AC15" s="81" t="s">
        <v>60</v>
      </c>
      <c r="AD15" s="82"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baseColWidth="10" defaultColWidth="8.83203125" defaultRowHeight="15" x14ac:dyDescent="0.2"/>
  <cols>
    <col min="2" max="2" width="21.5" bestFit="1" customWidth="1"/>
    <col min="3" max="4" width="18.5" customWidth="1"/>
    <col min="5" max="13" width="19.5" customWidth="1"/>
    <col min="14" max="22" width="17.1640625" customWidth="1"/>
    <col min="23" max="38" width="14.6640625" customWidth="1"/>
  </cols>
  <sheetData>
    <row r="4" spans="2:42" x14ac:dyDescent="0.2">
      <c r="B4" s="127" t="s">
        <v>2</v>
      </c>
      <c r="C4" s="162" t="s">
        <v>210</v>
      </c>
      <c r="D4" s="163"/>
      <c r="E4" s="163"/>
      <c r="F4" s="163"/>
      <c r="G4" s="163"/>
      <c r="H4" s="163"/>
      <c r="I4" s="163"/>
      <c r="J4" s="163"/>
      <c r="K4" s="164"/>
      <c r="L4" s="162" t="s">
        <v>212</v>
      </c>
      <c r="M4" s="163"/>
      <c r="N4" s="163"/>
      <c r="O4" s="163"/>
      <c r="P4" s="163"/>
      <c r="Q4" s="163"/>
      <c r="R4" s="163"/>
      <c r="S4" s="163"/>
      <c r="T4" s="164"/>
      <c r="U4" s="162" t="s">
        <v>189</v>
      </c>
      <c r="V4" s="163"/>
      <c r="W4" s="163"/>
      <c r="X4" s="163"/>
      <c r="Y4" s="163"/>
      <c r="Z4" s="163"/>
      <c r="AA4" s="163"/>
      <c r="AB4" s="163"/>
      <c r="AC4" s="164"/>
      <c r="AD4" s="162" t="s">
        <v>190</v>
      </c>
      <c r="AE4" s="163"/>
      <c r="AF4" s="163"/>
      <c r="AG4" s="163"/>
      <c r="AH4" s="163"/>
      <c r="AI4" s="163"/>
      <c r="AJ4" s="163"/>
      <c r="AK4" s="163"/>
      <c r="AL4" s="164"/>
      <c r="AM4" s="165" t="s">
        <v>191</v>
      </c>
      <c r="AN4" s="166"/>
      <c r="AO4" s="166"/>
      <c r="AP4" s="167"/>
    </row>
    <row r="5" spans="2:42" x14ac:dyDescent="0.2">
      <c r="B5" s="127"/>
      <c r="C5" s="128" t="s">
        <v>75</v>
      </c>
      <c r="D5" s="128" t="s">
        <v>76</v>
      </c>
      <c r="E5" s="128" t="s">
        <v>77</v>
      </c>
      <c r="F5" s="128" t="s">
        <v>79</v>
      </c>
      <c r="G5" s="128" t="s">
        <v>80</v>
      </c>
      <c r="H5" s="128" t="s">
        <v>81</v>
      </c>
      <c r="I5" s="128" t="s">
        <v>82</v>
      </c>
      <c r="J5" s="128" t="s">
        <v>83</v>
      </c>
      <c r="K5" s="128" t="s">
        <v>84</v>
      </c>
      <c r="L5" s="128" t="s">
        <v>75</v>
      </c>
      <c r="M5" s="128" t="s">
        <v>76</v>
      </c>
      <c r="N5" s="128" t="s">
        <v>77</v>
      </c>
      <c r="O5" s="128" t="s">
        <v>79</v>
      </c>
      <c r="P5" s="128" t="s">
        <v>80</v>
      </c>
      <c r="Q5" s="128" t="s">
        <v>81</v>
      </c>
      <c r="R5" s="128" t="s">
        <v>82</v>
      </c>
      <c r="S5" s="128" t="s">
        <v>83</v>
      </c>
      <c r="T5" s="128" t="s">
        <v>84</v>
      </c>
      <c r="U5" s="128" t="s">
        <v>75</v>
      </c>
      <c r="V5" s="128" t="s">
        <v>76</v>
      </c>
      <c r="W5" s="128" t="s">
        <v>77</v>
      </c>
      <c r="X5" s="128" t="s">
        <v>79</v>
      </c>
      <c r="Y5" s="128" t="s">
        <v>80</v>
      </c>
      <c r="Z5" s="128" t="s">
        <v>81</v>
      </c>
      <c r="AA5" s="128" t="s">
        <v>82</v>
      </c>
      <c r="AB5" s="128" t="s">
        <v>83</v>
      </c>
      <c r="AC5" s="128" t="s">
        <v>84</v>
      </c>
      <c r="AD5" s="128" t="s">
        <v>75</v>
      </c>
      <c r="AE5" s="128" t="s">
        <v>76</v>
      </c>
      <c r="AF5" s="128" t="s">
        <v>77</v>
      </c>
      <c r="AG5" s="128" t="s">
        <v>79</v>
      </c>
      <c r="AH5" s="128" t="s">
        <v>80</v>
      </c>
      <c r="AI5" s="128" t="s">
        <v>81</v>
      </c>
      <c r="AJ5" s="128" t="s">
        <v>82</v>
      </c>
      <c r="AK5" s="128" t="s">
        <v>83</v>
      </c>
      <c r="AL5" s="128" t="s">
        <v>84</v>
      </c>
      <c r="AM5" s="168"/>
      <c r="AN5" s="169"/>
      <c r="AO5" s="169"/>
      <c r="AP5" s="170"/>
    </row>
    <row r="6" spans="2:42" x14ac:dyDescent="0.2">
      <c r="B6" s="127" t="s">
        <v>3</v>
      </c>
      <c r="C6" s="125">
        <f>'SDQ Period 1'!K15</f>
        <v>7</v>
      </c>
      <c r="D6" s="126">
        <f>'SDQ Period 2'!K15</f>
        <v>8</v>
      </c>
      <c r="E6" s="126">
        <f>'SDQ Period 3'!K15</f>
        <v>0</v>
      </c>
      <c r="F6" s="126">
        <f>'SDQ Period 4'!K15</f>
        <v>0</v>
      </c>
      <c r="G6" s="126">
        <f>'SDQ Period 5'!K15</f>
        <v>0</v>
      </c>
      <c r="H6" s="126">
        <f>'SDQ Period 6'!K15</f>
        <v>0</v>
      </c>
      <c r="I6" s="125">
        <f>'SDQ Period 7'!K15</f>
        <v>0</v>
      </c>
      <c r="J6" s="125">
        <f>'SDQ Period 8'!K15</f>
        <v>0</v>
      </c>
      <c r="K6" s="125">
        <f>'SDQ Period 9'!K15</f>
        <v>0</v>
      </c>
      <c r="L6" s="125">
        <f>'SDQ Period 1'!L15</f>
        <v>8</v>
      </c>
      <c r="M6" s="125">
        <f>'SDQ Period 2'!L15</f>
        <v>7</v>
      </c>
      <c r="N6" s="125">
        <f>'SDQ Period 3'!L15</f>
        <v>0</v>
      </c>
      <c r="O6" s="125">
        <f>'SDQ Period 4'!L15</f>
        <v>0</v>
      </c>
      <c r="P6" s="125">
        <f>'SDQ Period 5'!L15</f>
        <v>0</v>
      </c>
      <c r="Q6" s="125">
        <f>'SDQ Period 6'!L15</f>
        <v>0</v>
      </c>
      <c r="R6" s="125">
        <f>'SDQ Period 7'!L15</f>
        <v>0</v>
      </c>
      <c r="S6" s="125">
        <f>'SDQ Period 8'!L15</f>
        <v>0</v>
      </c>
      <c r="T6" s="125">
        <f>'SDQ Period 9'!L15</f>
        <v>0</v>
      </c>
      <c r="U6" s="125">
        <f>'SDQ Period 1'!M15</f>
        <v>7</v>
      </c>
      <c r="V6" s="125">
        <f>'SDQ Period 2'!M15</f>
        <v>7</v>
      </c>
      <c r="W6" s="125">
        <f>'SDQ Period 3'!M15</f>
        <v>0</v>
      </c>
      <c r="X6" s="125">
        <f>'SDQ Period 4'!M15</f>
        <v>0</v>
      </c>
      <c r="Y6" s="125">
        <f>'SDQ Period 5'!M15</f>
        <v>0</v>
      </c>
      <c r="Z6" s="125">
        <f>'SDQ Period 6'!M15</f>
        <v>0</v>
      </c>
      <c r="AA6" s="125">
        <f>'SDQ Period 7'!M15</f>
        <v>0</v>
      </c>
      <c r="AB6" s="125">
        <f>'SDQ Period 8'!M15</f>
        <v>0</v>
      </c>
      <c r="AC6" s="125">
        <f>'SDQ Period 9'!M15</f>
        <v>0</v>
      </c>
      <c r="AD6" s="126">
        <f>'SDQ Period 1'!N15</f>
        <v>7</v>
      </c>
      <c r="AE6" s="126">
        <f>'SDQ Period 2'!N15</f>
        <v>7</v>
      </c>
      <c r="AF6" s="126">
        <f>'SDQ Period 3'!N15</f>
        <v>0</v>
      </c>
      <c r="AG6" s="126">
        <f>'SDQ Period 4'!N15</f>
        <v>0</v>
      </c>
      <c r="AH6" s="126">
        <f>'SDQ Period 5'!N15</f>
        <v>0</v>
      </c>
      <c r="AI6" s="126">
        <f>'SDQ Period 6'!N15</f>
        <v>0</v>
      </c>
      <c r="AJ6" s="126">
        <f>'SDQ Period 7'!N15</f>
        <v>0</v>
      </c>
      <c r="AK6" s="126">
        <f>'SDQ Period 8'!N15</f>
        <v>0</v>
      </c>
      <c r="AL6" s="126">
        <f>'SDQ Period 9'!N15</f>
        <v>0</v>
      </c>
      <c r="AM6" s="79" t="s">
        <v>23</v>
      </c>
      <c r="AN6" s="80">
        <v>4</v>
      </c>
      <c r="AO6" s="81" t="s">
        <v>24</v>
      </c>
      <c r="AP6" s="82" t="s">
        <v>25</v>
      </c>
    </row>
    <row r="7" spans="2:42" x14ac:dyDescent="0.2">
      <c r="B7" s="127" t="s">
        <v>5</v>
      </c>
      <c r="C7" s="125">
        <f>'SDQ Period 1'!K16</f>
        <v>4</v>
      </c>
      <c r="D7" s="126">
        <f>'SDQ Period 2'!K16</f>
        <v>3</v>
      </c>
      <c r="E7" s="126">
        <f>'SDQ Period 3'!K16</f>
        <v>0</v>
      </c>
      <c r="F7" s="126">
        <f>'SDQ Period 4'!K16</f>
        <v>0</v>
      </c>
      <c r="G7" s="126">
        <f>'SDQ Period 5'!K16</f>
        <v>0</v>
      </c>
      <c r="H7" s="126">
        <f>'SDQ Period 6'!K16</f>
        <v>0</v>
      </c>
      <c r="I7" s="125">
        <f>'SDQ Period 7'!K16</f>
        <v>0</v>
      </c>
      <c r="J7" s="125">
        <f>'SDQ Period 8'!K16</f>
        <v>0</v>
      </c>
      <c r="K7" s="125">
        <f>'SDQ Period 9'!K16</f>
        <v>0</v>
      </c>
      <c r="L7" s="125">
        <f>'SDQ Period 1'!L16</f>
        <v>3</v>
      </c>
      <c r="M7" s="125">
        <f>'SDQ Period 2'!L16</f>
        <v>4</v>
      </c>
      <c r="N7" s="125">
        <f>'SDQ Period 3'!L16</f>
        <v>0</v>
      </c>
      <c r="O7" s="125">
        <f>'SDQ Period 4'!L16</f>
        <v>0</v>
      </c>
      <c r="P7" s="125">
        <f>'SDQ Period 5'!L16</f>
        <v>0</v>
      </c>
      <c r="Q7" s="125">
        <f>'SDQ Period 6'!L16</f>
        <v>0</v>
      </c>
      <c r="R7" s="125">
        <f>'SDQ Period 7'!L16</f>
        <v>0</v>
      </c>
      <c r="S7" s="125">
        <f>'SDQ Period 8'!L16</f>
        <v>0</v>
      </c>
      <c r="T7" s="125">
        <f>'SDQ Period 9'!L16</f>
        <v>0</v>
      </c>
      <c r="U7" s="125">
        <f>'SDQ Period 1'!M16</f>
        <v>3</v>
      </c>
      <c r="V7" s="125">
        <f>'SDQ Period 2'!M16</f>
        <v>3</v>
      </c>
      <c r="W7" s="125">
        <f>'SDQ Period 3'!M16</f>
        <v>0</v>
      </c>
      <c r="X7" s="125">
        <f>'SDQ Period 4'!M16</f>
        <v>0</v>
      </c>
      <c r="Y7" s="125">
        <f>'SDQ Period 5'!M16</f>
        <v>0</v>
      </c>
      <c r="Z7" s="125">
        <f>'SDQ Period 6'!M16</f>
        <v>0</v>
      </c>
      <c r="AA7" s="125">
        <f>'SDQ Period 7'!M16</f>
        <v>0</v>
      </c>
      <c r="AB7" s="125">
        <f>'SDQ Period 8'!M16</f>
        <v>0</v>
      </c>
      <c r="AC7" s="125">
        <f>'SDQ Period 9'!M16</f>
        <v>0</v>
      </c>
      <c r="AD7" s="126">
        <f>'SDQ Period 1'!N16</f>
        <v>4</v>
      </c>
      <c r="AE7" s="126">
        <f>'SDQ Period 2'!N16</f>
        <v>3</v>
      </c>
      <c r="AF7" s="126">
        <f>'SDQ Period 3'!N16</f>
        <v>0</v>
      </c>
      <c r="AG7" s="126">
        <f>'SDQ Period 4'!N16</f>
        <v>0</v>
      </c>
      <c r="AH7" s="126">
        <f>'SDQ Period 5'!N16</f>
        <v>0</v>
      </c>
      <c r="AI7" s="126">
        <f>'SDQ Period 6'!N16</f>
        <v>0</v>
      </c>
      <c r="AJ7" s="126">
        <f>'SDQ Period 7'!N16</f>
        <v>0</v>
      </c>
      <c r="AK7" s="126">
        <f>'SDQ Period 8'!N16</f>
        <v>0</v>
      </c>
      <c r="AL7" s="126">
        <f>'SDQ Period 9'!N16</f>
        <v>0</v>
      </c>
      <c r="AM7" s="79" t="s">
        <v>27</v>
      </c>
      <c r="AN7" s="80" t="s">
        <v>28</v>
      </c>
      <c r="AO7" s="81" t="s">
        <v>29</v>
      </c>
      <c r="AP7" s="82" t="s">
        <v>30</v>
      </c>
    </row>
    <row r="8" spans="2:42" x14ac:dyDescent="0.2">
      <c r="B8" s="127" t="s">
        <v>4</v>
      </c>
      <c r="C8" s="125">
        <f>'SDQ Period 1'!K17</f>
        <v>2</v>
      </c>
      <c r="D8" s="126">
        <f>'SDQ Period 2'!K17</f>
        <v>3</v>
      </c>
      <c r="E8" s="126">
        <f>'SDQ Period 3'!K17</f>
        <v>0</v>
      </c>
      <c r="F8" s="126">
        <f>'SDQ Period 4'!K17</f>
        <v>0</v>
      </c>
      <c r="G8" s="126">
        <f>'SDQ Period 5'!K17</f>
        <v>0</v>
      </c>
      <c r="H8" s="126">
        <f>'SDQ Period 6'!K17</f>
        <v>0</v>
      </c>
      <c r="I8" s="125">
        <f>'SDQ Period 7'!K17</f>
        <v>0</v>
      </c>
      <c r="J8" s="125">
        <f>'SDQ Period 8'!K17</f>
        <v>0</v>
      </c>
      <c r="K8" s="125">
        <f>'SDQ Period 9'!K17</f>
        <v>0</v>
      </c>
      <c r="L8" s="125">
        <f>'SDQ Period 1'!L17</f>
        <v>3</v>
      </c>
      <c r="M8" s="125">
        <f>'SDQ Period 2'!L17</f>
        <v>2</v>
      </c>
      <c r="N8" s="125">
        <f>'SDQ Period 3'!L17</f>
        <v>0</v>
      </c>
      <c r="O8" s="125">
        <f>'SDQ Period 4'!L17</f>
        <v>0</v>
      </c>
      <c r="P8" s="125">
        <f>'SDQ Period 5'!L17</f>
        <v>0</v>
      </c>
      <c r="Q8" s="125">
        <f>'SDQ Period 6'!L17</f>
        <v>0</v>
      </c>
      <c r="R8" s="125">
        <f>'SDQ Period 7'!L17</f>
        <v>0</v>
      </c>
      <c r="S8" s="125">
        <f>'SDQ Period 8'!L17</f>
        <v>0</v>
      </c>
      <c r="T8" s="125">
        <f>'SDQ Period 9'!L17</f>
        <v>0</v>
      </c>
      <c r="U8" s="125">
        <f>'SDQ Period 1'!M17</f>
        <v>6</v>
      </c>
      <c r="V8" s="125">
        <f>'SDQ Period 2'!M17</f>
        <v>6</v>
      </c>
      <c r="W8" s="125">
        <f>'SDQ Period 3'!M17</f>
        <v>0</v>
      </c>
      <c r="X8" s="125">
        <f>'SDQ Period 4'!M17</f>
        <v>0</v>
      </c>
      <c r="Y8" s="125">
        <f>'SDQ Period 5'!M17</f>
        <v>0</v>
      </c>
      <c r="Z8" s="125">
        <f>'SDQ Period 6'!M17</f>
        <v>0</v>
      </c>
      <c r="AA8" s="125">
        <f>'SDQ Period 7'!M17</f>
        <v>0</v>
      </c>
      <c r="AB8" s="125">
        <f>'SDQ Period 8'!M17</f>
        <v>0</v>
      </c>
      <c r="AC8" s="125">
        <f>'SDQ Period 9'!M17</f>
        <v>0</v>
      </c>
      <c r="AD8" s="126">
        <f>'SDQ Period 1'!N17</f>
        <v>5</v>
      </c>
      <c r="AE8" s="126">
        <f>'SDQ Period 2'!N17</f>
        <v>6</v>
      </c>
      <c r="AF8" s="126">
        <f>'SDQ Period 3'!N17</f>
        <v>0</v>
      </c>
      <c r="AG8" s="126">
        <f>'SDQ Period 4'!N17</f>
        <v>0</v>
      </c>
      <c r="AH8" s="126">
        <f>'SDQ Period 5'!N17</f>
        <v>0</v>
      </c>
      <c r="AI8" s="126">
        <f>'SDQ Period 6'!N17</f>
        <v>0</v>
      </c>
      <c r="AJ8" s="126">
        <f>'SDQ Period 7'!N17</f>
        <v>0</v>
      </c>
      <c r="AK8" s="126">
        <f>'SDQ Period 8'!N17</f>
        <v>0</v>
      </c>
      <c r="AL8" s="126">
        <f>'SDQ Period 9'!N17</f>
        <v>0</v>
      </c>
      <c r="AM8" s="79" t="s">
        <v>27</v>
      </c>
      <c r="AN8" s="80" t="s">
        <v>28</v>
      </c>
      <c r="AO8" s="81" t="s">
        <v>32</v>
      </c>
      <c r="AP8" s="82" t="s">
        <v>33</v>
      </c>
    </row>
    <row r="9" spans="2:42" x14ac:dyDescent="0.2">
      <c r="B9" s="127" t="s">
        <v>15</v>
      </c>
      <c r="C9" s="125">
        <f>'SDQ Period 1'!K18</f>
        <v>7</v>
      </c>
      <c r="D9" s="126">
        <f>'SDQ Period 2'!K18</f>
        <v>7</v>
      </c>
      <c r="E9" s="126">
        <f>'SDQ Period 3'!K18</f>
        <v>0</v>
      </c>
      <c r="F9" s="126">
        <f>'SDQ Period 4'!K18</f>
        <v>0</v>
      </c>
      <c r="G9" s="126">
        <f>'SDQ Period 5'!K18</f>
        <v>0</v>
      </c>
      <c r="H9" s="126">
        <f>'SDQ Period 6'!K18</f>
        <v>0</v>
      </c>
      <c r="I9" s="125">
        <f>'SDQ Period 7'!K18</f>
        <v>0</v>
      </c>
      <c r="J9" s="125">
        <f>'SDQ Period 8'!K18</f>
        <v>0</v>
      </c>
      <c r="K9" s="125">
        <f>'SDQ Period 9'!K18</f>
        <v>0</v>
      </c>
      <c r="L9" s="125">
        <f>'SDQ Period 1'!L18</f>
        <v>7</v>
      </c>
      <c r="M9" s="125">
        <f>'SDQ Period 2'!L18</f>
        <v>7</v>
      </c>
      <c r="N9" s="125">
        <f>'SDQ Period 3'!L18</f>
        <v>0</v>
      </c>
      <c r="O9" s="125">
        <f>'SDQ Period 4'!L18</f>
        <v>0</v>
      </c>
      <c r="P9" s="125">
        <f>'SDQ Period 5'!L18</f>
        <v>0</v>
      </c>
      <c r="Q9" s="125">
        <f>'SDQ Period 6'!L18</f>
        <v>0</v>
      </c>
      <c r="R9" s="125">
        <f>'SDQ Period 7'!L18</f>
        <v>0</v>
      </c>
      <c r="S9" s="125">
        <f>'SDQ Period 8'!L18</f>
        <v>0</v>
      </c>
      <c r="T9" s="125">
        <f>'SDQ Period 9'!L18</f>
        <v>0</v>
      </c>
      <c r="U9" s="125">
        <f>'SDQ Period 1'!M18</f>
        <v>8</v>
      </c>
      <c r="V9" s="125">
        <f>'SDQ Period 2'!M18</f>
        <v>8</v>
      </c>
      <c r="W9" s="125">
        <f>'SDQ Period 3'!M18</f>
        <v>0</v>
      </c>
      <c r="X9" s="125">
        <f>'SDQ Period 4'!M18</f>
        <v>0</v>
      </c>
      <c r="Y9" s="125">
        <f>'SDQ Period 5'!M18</f>
        <v>0</v>
      </c>
      <c r="Z9" s="125">
        <f>'SDQ Period 6'!M18</f>
        <v>0</v>
      </c>
      <c r="AA9" s="125">
        <f>'SDQ Period 7'!M18</f>
        <v>0</v>
      </c>
      <c r="AB9" s="125">
        <f>'SDQ Period 8'!M18</f>
        <v>0</v>
      </c>
      <c r="AC9" s="125">
        <f>'SDQ Period 9'!M18</f>
        <v>0</v>
      </c>
      <c r="AD9" s="126">
        <f>'SDQ Period 1'!N18</f>
        <v>7</v>
      </c>
      <c r="AE9" s="126">
        <f>'SDQ Period 2'!N18</f>
        <v>8</v>
      </c>
      <c r="AF9" s="126">
        <f>'SDQ Period 3'!N18</f>
        <v>0</v>
      </c>
      <c r="AG9" s="126">
        <f>'SDQ Period 4'!N18</f>
        <v>0</v>
      </c>
      <c r="AH9" s="126">
        <f>'SDQ Period 5'!N18</f>
        <v>0</v>
      </c>
      <c r="AI9" s="126">
        <f>'SDQ Period 6'!N18</f>
        <v>0</v>
      </c>
      <c r="AJ9" s="126">
        <f>'SDQ Period 7'!N18</f>
        <v>0</v>
      </c>
      <c r="AK9" s="126">
        <f>'SDQ Period 8'!N18</f>
        <v>0</v>
      </c>
      <c r="AL9" s="126">
        <f>'SDQ Period 9'!N18</f>
        <v>0</v>
      </c>
      <c r="AM9" s="79" t="s">
        <v>35</v>
      </c>
      <c r="AN9" s="80" t="s">
        <v>36</v>
      </c>
      <c r="AO9" s="81" t="s">
        <v>37</v>
      </c>
      <c r="AP9" s="82" t="s">
        <v>38</v>
      </c>
    </row>
    <row r="10" spans="2:42" x14ac:dyDescent="0.2">
      <c r="B10" s="127" t="s">
        <v>40</v>
      </c>
      <c r="C10" s="125">
        <f>'SDQ Period 1'!K19</f>
        <v>20</v>
      </c>
      <c r="D10" s="126">
        <f>'SDQ Period 2'!K19</f>
        <v>21</v>
      </c>
      <c r="E10" s="126">
        <f>'SDQ Period 3'!K19</f>
        <v>0</v>
      </c>
      <c r="F10" s="126">
        <f>'SDQ Period 4'!K19</f>
        <v>0</v>
      </c>
      <c r="G10" s="126">
        <f>'SDQ Period 5'!K19</f>
        <v>0</v>
      </c>
      <c r="H10" s="126">
        <f>'SDQ Period 6'!K19</f>
        <v>0</v>
      </c>
      <c r="I10" s="125">
        <f>'SDQ Period 7'!K19</f>
        <v>0</v>
      </c>
      <c r="J10" s="125">
        <f>'SDQ Period 8'!K19</f>
        <v>0</v>
      </c>
      <c r="K10" s="125">
        <f>'SDQ Period 9'!K19</f>
        <v>0</v>
      </c>
      <c r="L10" s="125">
        <f>'SDQ Period 1'!L19</f>
        <v>21</v>
      </c>
      <c r="M10" s="125">
        <f>'SDQ Period 2'!L19</f>
        <v>20</v>
      </c>
      <c r="N10" s="125">
        <f>'SDQ Period 3'!L19</f>
        <v>0</v>
      </c>
      <c r="O10" s="125">
        <f>'SDQ Period 4'!L19</f>
        <v>0</v>
      </c>
      <c r="P10" s="125">
        <f>'SDQ Period 5'!L19</f>
        <v>0</v>
      </c>
      <c r="Q10" s="125">
        <f>'SDQ Period 6'!L19</f>
        <v>0</v>
      </c>
      <c r="R10" s="125">
        <f>'SDQ Period 7'!L19</f>
        <v>0</v>
      </c>
      <c r="S10" s="125">
        <f>'SDQ Period 8'!L19</f>
        <v>0</v>
      </c>
      <c r="T10" s="125">
        <f>'SDQ Period 9'!L19</f>
        <v>0</v>
      </c>
      <c r="U10" s="125">
        <f>'SDQ Period 1'!M19</f>
        <v>24</v>
      </c>
      <c r="V10" s="125">
        <f>'SDQ Period 2'!M19</f>
        <v>24</v>
      </c>
      <c r="W10" s="125">
        <f>'SDQ Period 3'!M19</f>
        <v>0</v>
      </c>
      <c r="X10" s="125">
        <f>'SDQ Period 4'!M19</f>
        <v>0</v>
      </c>
      <c r="Y10" s="125">
        <f>'SDQ Period 5'!M19</f>
        <v>0</v>
      </c>
      <c r="Z10" s="125">
        <f>'SDQ Period 6'!M19</f>
        <v>0</v>
      </c>
      <c r="AA10" s="125">
        <f>'SDQ Period 7'!M19</f>
        <v>0</v>
      </c>
      <c r="AB10" s="125">
        <f>'SDQ Period 8'!M19</f>
        <v>0</v>
      </c>
      <c r="AC10" s="125">
        <f>'SDQ Period 9'!M19</f>
        <v>0</v>
      </c>
      <c r="AD10" s="126">
        <f>'SDQ Period 1'!N19</f>
        <v>23</v>
      </c>
      <c r="AE10" s="126">
        <f>'SDQ Period 2'!N19</f>
        <v>24</v>
      </c>
      <c r="AF10" s="126">
        <f>'SDQ Period 3'!N19</f>
        <v>0</v>
      </c>
      <c r="AG10" s="126">
        <f>'SDQ Period 4'!N19</f>
        <v>0</v>
      </c>
      <c r="AH10" s="126">
        <f>'SDQ Period 5'!N19</f>
        <v>0</v>
      </c>
      <c r="AI10" s="126">
        <f>'SDQ Period 6'!N19</f>
        <v>0</v>
      </c>
      <c r="AJ10" s="126">
        <f>'SDQ Period 7'!N19</f>
        <v>0</v>
      </c>
      <c r="AK10" s="126">
        <f>'SDQ Period 8'!N19</f>
        <v>0</v>
      </c>
      <c r="AL10" s="126">
        <f>'SDQ Period 9'!N19</f>
        <v>0</v>
      </c>
      <c r="AM10" s="79" t="s">
        <v>41</v>
      </c>
      <c r="AN10" s="80" t="s">
        <v>42</v>
      </c>
      <c r="AO10" s="81" t="s">
        <v>43</v>
      </c>
      <c r="AP10" s="82" t="s">
        <v>44</v>
      </c>
    </row>
    <row r="11" spans="2:42" x14ac:dyDescent="0.2">
      <c r="B11" s="127" t="s">
        <v>46</v>
      </c>
      <c r="C11" s="125">
        <f>'SDQ Period 1'!K20</f>
        <v>11</v>
      </c>
      <c r="D11" s="126">
        <f>'SDQ Period 2'!K20</f>
        <v>11</v>
      </c>
      <c r="E11" s="126">
        <f>'SDQ Period 3'!K20</f>
        <v>0</v>
      </c>
      <c r="F11" s="126">
        <f>'SDQ Period 4'!K20</f>
        <v>0</v>
      </c>
      <c r="G11" s="126">
        <f>'SDQ Period 5'!K20</f>
        <v>0</v>
      </c>
      <c r="H11" s="126">
        <f>'SDQ Period 6'!K20</f>
        <v>0</v>
      </c>
      <c r="I11" s="125">
        <f>'SDQ Period 7'!K20</f>
        <v>0</v>
      </c>
      <c r="J11" s="125">
        <f>'SDQ Period 8'!K20</f>
        <v>0</v>
      </c>
      <c r="K11" s="125">
        <f>'SDQ Period 9'!K20</f>
        <v>0</v>
      </c>
      <c r="L11" s="125">
        <f>'SDQ Period 1'!L20</f>
        <v>11</v>
      </c>
      <c r="M11" s="125">
        <f>'SDQ Period 2'!L20</f>
        <v>11</v>
      </c>
      <c r="N11" s="125">
        <f>'SDQ Period 3'!L20</f>
        <v>0</v>
      </c>
      <c r="O11" s="125">
        <f>'SDQ Period 4'!L20</f>
        <v>0</v>
      </c>
      <c r="P11" s="125">
        <f>'SDQ Period 5'!L20</f>
        <v>0</v>
      </c>
      <c r="Q11" s="125">
        <f>'SDQ Period 6'!L20</f>
        <v>0</v>
      </c>
      <c r="R11" s="125">
        <f>'SDQ Period 7'!L20</f>
        <v>0</v>
      </c>
      <c r="S11" s="125">
        <f>'SDQ Period 8'!L20</f>
        <v>0</v>
      </c>
      <c r="T11" s="125">
        <f>'SDQ Period 9'!L20</f>
        <v>0</v>
      </c>
      <c r="U11" s="125">
        <f>'SDQ Period 1'!M20</f>
        <v>10</v>
      </c>
      <c r="V11" s="125">
        <f>'SDQ Period 2'!M20</f>
        <v>10</v>
      </c>
      <c r="W11" s="125">
        <f>'SDQ Period 3'!M20</f>
        <v>0</v>
      </c>
      <c r="X11" s="125">
        <f>'SDQ Period 4'!M20</f>
        <v>0</v>
      </c>
      <c r="Y11" s="125">
        <f>'SDQ Period 5'!M20</f>
        <v>0</v>
      </c>
      <c r="Z11" s="125">
        <f>'SDQ Period 6'!M20</f>
        <v>0</v>
      </c>
      <c r="AA11" s="125">
        <f>'SDQ Period 7'!M20</f>
        <v>0</v>
      </c>
      <c r="AB11" s="125">
        <f>'SDQ Period 8'!M20</f>
        <v>0</v>
      </c>
      <c r="AC11" s="125">
        <f>'SDQ Period 9'!M20</f>
        <v>0</v>
      </c>
      <c r="AD11" s="126">
        <f>'SDQ Period 1'!N20</f>
        <v>11</v>
      </c>
      <c r="AE11" s="126">
        <f>'SDQ Period 2'!N20</f>
        <v>10</v>
      </c>
      <c r="AF11" s="126">
        <f>'SDQ Period 3'!N20</f>
        <v>0</v>
      </c>
      <c r="AG11" s="126">
        <f>'SDQ Period 4'!N20</f>
        <v>0</v>
      </c>
      <c r="AH11" s="126">
        <f>'SDQ Period 5'!N20</f>
        <v>0</v>
      </c>
      <c r="AI11" s="126">
        <f>'SDQ Period 6'!N20</f>
        <v>0</v>
      </c>
      <c r="AJ11" s="126">
        <f>'SDQ Period 7'!N20</f>
        <v>0</v>
      </c>
      <c r="AK11" s="126">
        <f>'SDQ Period 8'!N20</f>
        <v>0</v>
      </c>
      <c r="AL11" s="126">
        <f>'SDQ Period 9'!N20</f>
        <v>0</v>
      </c>
      <c r="AM11" s="79" t="s">
        <v>23</v>
      </c>
      <c r="AN11" s="80" t="s">
        <v>47</v>
      </c>
      <c r="AO11" s="81" t="s">
        <v>48</v>
      </c>
      <c r="AP11" s="82" t="s">
        <v>49</v>
      </c>
    </row>
    <row r="12" spans="2:42" x14ac:dyDescent="0.2">
      <c r="B12" s="127" t="s">
        <v>51</v>
      </c>
      <c r="C12" s="125">
        <f>'SDQ Period 1'!K21</f>
        <v>9</v>
      </c>
      <c r="D12" s="126">
        <f>'SDQ Period 2'!K21</f>
        <v>10</v>
      </c>
      <c r="E12" s="126">
        <f>'SDQ Period 3'!K21</f>
        <v>0</v>
      </c>
      <c r="F12" s="126">
        <f>'SDQ Period 4'!K21</f>
        <v>0</v>
      </c>
      <c r="G12" s="126">
        <f>'SDQ Period 5'!K21</f>
        <v>0</v>
      </c>
      <c r="H12" s="126">
        <f>'SDQ Period 6'!K21</f>
        <v>0</v>
      </c>
      <c r="I12" s="125">
        <f>'SDQ Period 7'!K21</f>
        <v>0</v>
      </c>
      <c r="J12" s="125">
        <f>'SDQ Period 8'!K21</f>
        <v>0</v>
      </c>
      <c r="K12" s="125">
        <f>'SDQ Period 9'!K21</f>
        <v>0</v>
      </c>
      <c r="L12" s="125">
        <f>'SDQ Period 1'!L21</f>
        <v>10</v>
      </c>
      <c r="M12" s="125">
        <f>'SDQ Period 2'!L21</f>
        <v>9</v>
      </c>
      <c r="N12" s="125">
        <f>'SDQ Period 3'!L21</f>
        <v>0</v>
      </c>
      <c r="O12" s="125">
        <f>'SDQ Period 4'!L21</f>
        <v>0</v>
      </c>
      <c r="P12" s="125">
        <f>'SDQ Period 5'!L21</f>
        <v>0</v>
      </c>
      <c r="Q12" s="125">
        <f>'SDQ Period 6'!L21</f>
        <v>0</v>
      </c>
      <c r="R12" s="125">
        <f>'SDQ Period 7'!L21</f>
        <v>0</v>
      </c>
      <c r="S12" s="125">
        <f>'SDQ Period 8'!L21</f>
        <v>0</v>
      </c>
      <c r="T12" s="125">
        <f>'SDQ Period 9'!L21</f>
        <v>0</v>
      </c>
      <c r="U12" s="125">
        <f>'SDQ Period 1'!M21</f>
        <v>14</v>
      </c>
      <c r="V12" s="125">
        <f>'SDQ Period 2'!M21</f>
        <v>14</v>
      </c>
      <c r="W12" s="125">
        <f>'SDQ Period 3'!M21</f>
        <v>0</v>
      </c>
      <c r="X12" s="125">
        <f>'SDQ Period 4'!M21</f>
        <v>0</v>
      </c>
      <c r="Y12" s="125">
        <f>'SDQ Period 5'!M21</f>
        <v>0</v>
      </c>
      <c r="Z12" s="125">
        <f>'SDQ Period 6'!M21</f>
        <v>0</v>
      </c>
      <c r="AA12" s="125">
        <f>'SDQ Period 7'!M21</f>
        <v>0</v>
      </c>
      <c r="AB12" s="125">
        <f>'SDQ Period 8'!M21</f>
        <v>0</v>
      </c>
      <c r="AC12" s="125">
        <f>'SDQ Period 9'!M21</f>
        <v>0</v>
      </c>
      <c r="AD12" s="126">
        <f>'SDQ Period 1'!N21</f>
        <v>12</v>
      </c>
      <c r="AE12" s="126">
        <f>'SDQ Period 2'!N21</f>
        <v>14</v>
      </c>
      <c r="AF12" s="126">
        <f>'SDQ Period 3'!N21</f>
        <v>0</v>
      </c>
      <c r="AG12" s="126">
        <f>'SDQ Period 4'!N21</f>
        <v>0</v>
      </c>
      <c r="AH12" s="126">
        <f>'SDQ Period 5'!N21</f>
        <v>0</v>
      </c>
      <c r="AI12" s="126">
        <f>'SDQ Period 6'!N21</f>
        <v>0</v>
      </c>
      <c r="AJ12" s="126">
        <f>'SDQ Period 7'!N21</f>
        <v>0</v>
      </c>
      <c r="AK12" s="126">
        <f>'SDQ Period 8'!N21</f>
        <v>0</v>
      </c>
      <c r="AL12" s="126">
        <f>'SDQ Period 9'!N21</f>
        <v>0</v>
      </c>
      <c r="AM12" s="79" t="s">
        <v>52</v>
      </c>
      <c r="AN12" s="80" t="s">
        <v>48</v>
      </c>
      <c r="AO12" s="81" t="s">
        <v>53</v>
      </c>
      <c r="AP12" s="82" t="s">
        <v>54</v>
      </c>
    </row>
    <row r="13" spans="2:42" x14ac:dyDescent="0.2">
      <c r="B13" s="127" t="s">
        <v>56</v>
      </c>
      <c r="C13" s="125">
        <f>'SDQ Period 1'!K22</f>
        <v>0</v>
      </c>
      <c r="D13" s="126">
        <f>'SDQ Period 2'!K22</f>
        <v>0</v>
      </c>
      <c r="E13" s="126">
        <f>'SDQ Period 3'!K22</f>
        <v>0</v>
      </c>
      <c r="F13" s="126">
        <f>'SDQ Period 4'!K22</f>
        <v>0</v>
      </c>
      <c r="G13" s="126">
        <f>'SDQ Period 5'!K22</f>
        <v>0</v>
      </c>
      <c r="H13" s="126">
        <f>'SDQ Period 6'!K22</f>
        <v>0</v>
      </c>
      <c r="I13" s="125">
        <f>'SDQ Period 7'!K22</f>
        <v>0</v>
      </c>
      <c r="J13" s="125">
        <f>'SDQ Period 8'!K22</f>
        <v>0</v>
      </c>
      <c r="K13" s="125">
        <f>'SDQ Period 9'!K22</f>
        <v>0</v>
      </c>
      <c r="L13" s="125">
        <f>'SDQ Period 1'!L22</f>
        <v>0</v>
      </c>
      <c r="M13" s="125">
        <f>'SDQ Period 2'!L22</f>
        <v>0</v>
      </c>
      <c r="N13" s="125">
        <f>'SDQ Period 3'!L22</f>
        <v>0</v>
      </c>
      <c r="O13" s="125">
        <f>'SDQ Period 4'!L22</f>
        <v>0</v>
      </c>
      <c r="P13" s="125">
        <f>'SDQ Period 5'!L22</f>
        <v>0</v>
      </c>
      <c r="Q13" s="125">
        <f>'SDQ Period 6'!L22</f>
        <v>0</v>
      </c>
      <c r="R13" s="125">
        <f>'SDQ Period 7'!L22</f>
        <v>0</v>
      </c>
      <c r="S13" s="125">
        <f>'SDQ Period 8'!L22</f>
        <v>0</v>
      </c>
      <c r="T13" s="125">
        <f>'SDQ Period 9'!L22</f>
        <v>0</v>
      </c>
      <c r="U13" s="125">
        <f>'SDQ Period 1'!M22</f>
        <v>0</v>
      </c>
      <c r="V13" s="125">
        <f>'SDQ Period 2'!M22</f>
        <v>0</v>
      </c>
      <c r="W13" s="125">
        <f>'SDQ Period 3'!M22</f>
        <v>0</v>
      </c>
      <c r="X13" s="125">
        <f>'SDQ Period 4'!M22</f>
        <v>0</v>
      </c>
      <c r="Y13" s="125">
        <f>'SDQ Period 5'!M22</f>
        <v>0</v>
      </c>
      <c r="Z13" s="125">
        <f>'SDQ Period 6'!M22</f>
        <v>0</v>
      </c>
      <c r="AA13" s="125">
        <f>'SDQ Period 7'!M22</f>
        <v>0</v>
      </c>
      <c r="AB13" s="125">
        <f>'SDQ Period 8'!M22</f>
        <v>0</v>
      </c>
      <c r="AC13" s="125">
        <f>'SDQ Period 9'!M22</f>
        <v>0</v>
      </c>
      <c r="AD13" s="126">
        <f>'SDQ Period 1'!N22</f>
        <v>0</v>
      </c>
      <c r="AE13" s="126">
        <f>'SDQ Period 2'!N22</f>
        <v>0</v>
      </c>
      <c r="AF13" s="126">
        <f>'SDQ Period 3'!N22</f>
        <v>0</v>
      </c>
      <c r="AG13" s="126">
        <f>'SDQ Period 4'!N22</f>
        <v>0</v>
      </c>
      <c r="AH13" s="126">
        <f>'SDQ Period 5'!N22</f>
        <v>0</v>
      </c>
      <c r="AI13" s="126">
        <f>'SDQ Period 6'!N22</f>
        <v>0</v>
      </c>
      <c r="AJ13" s="126">
        <f>'SDQ Period 7'!N22</f>
        <v>0</v>
      </c>
      <c r="AK13" s="126">
        <f>'SDQ Period 8'!N22</f>
        <v>0</v>
      </c>
      <c r="AL13" s="126">
        <f>'SDQ Period 9'!N22</f>
        <v>0</v>
      </c>
      <c r="AM13" s="79" t="s">
        <v>23</v>
      </c>
      <c r="AN13" s="80" t="s">
        <v>29</v>
      </c>
      <c r="AO13" s="81" t="s">
        <v>24</v>
      </c>
      <c r="AP13" s="82" t="s">
        <v>25</v>
      </c>
    </row>
    <row r="14" spans="2:42" x14ac:dyDescent="0.2">
      <c r="B14" s="127"/>
      <c r="C14" s="125">
        <f>'SDQ Period 1'!K23</f>
        <v>0</v>
      </c>
      <c r="D14" s="126">
        <f>'SDQ Period 2'!K23</f>
        <v>0</v>
      </c>
      <c r="E14" s="126">
        <f>'SDQ Period 3'!K23</f>
        <v>0</v>
      </c>
      <c r="F14" s="126">
        <f>'SDQ Period 4'!K23</f>
        <v>0</v>
      </c>
      <c r="G14" s="126">
        <f>'SDQ Period 5'!K23</f>
        <v>0</v>
      </c>
      <c r="H14" s="126">
        <f>'SDQ Period 6'!K23</f>
        <v>0</v>
      </c>
      <c r="I14" s="125">
        <f>'SDQ Period 7'!K23</f>
        <v>0</v>
      </c>
      <c r="J14" s="125">
        <f>'SDQ Period 8'!K23</f>
        <v>0</v>
      </c>
      <c r="K14" s="125">
        <f>'SDQ Period 9'!K23</f>
        <v>0</v>
      </c>
      <c r="L14" s="125">
        <f>'SDQ Period 1'!L23</f>
        <v>0</v>
      </c>
      <c r="M14" s="125">
        <f>'SDQ Period 2'!L23</f>
        <v>0</v>
      </c>
      <c r="N14" s="125">
        <f>'SDQ Period 3'!L23</f>
        <v>0</v>
      </c>
      <c r="O14" s="125">
        <f>'SDQ Period 4'!L23</f>
        <v>0</v>
      </c>
      <c r="P14" s="125">
        <f>'SDQ Period 5'!L23</f>
        <v>0</v>
      </c>
      <c r="Q14" s="125">
        <f>'SDQ Period 6'!L23</f>
        <v>0</v>
      </c>
      <c r="R14" s="125">
        <f>'SDQ Period 7'!L23</f>
        <v>0</v>
      </c>
      <c r="S14" s="125">
        <f>'SDQ Period 8'!L23</f>
        <v>0</v>
      </c>
      <c r="T14" s="125">
        <f>'SDQ Period 9'!L23</f>
        <v>0</v>
      </c>
      <c r="U14" s="125">
        <f>'SDQ Period 1'!M23</f>
        <v>0</v>
      </c>
      <c r="V14" s="125">
        <f>'SDQ Period 2'!M23</f>
        <v>0</v>
      </c>
      <c r="W14" s="125">
        <f>'SDQ Period 3'!M23</f>
        <v>0</v>
      </c>
      <c r="X14" s="125">
        <f>'SDQ Period 4'!M23</f>
        <v>0</v>
      </c>
      <c r="Y14" s="125">
        <f>'SDQ Period 5'!M23</f>
        <v>0</v>
      </c>
      <c r="Z14" s="125">
        <f>'SDQ Period 6'!M23</f>
        <v>0</v>
      </c>
      <c r="AA14" s="125">
        <f>'SDQ Period 7'!M23</f>
        <v>0</v>
      </c>
      <c r="AB14" s="125">
        <f>'SDQ Period 8'!M23</f>
        <v>0</v>
      </c>
      <c r="AC14" s="125">
        <f>'SDQ Period 9'!M23</f>
        <v>0</v>
      </c>
      <c r="AD14" s="126">
        <f>'SDQ Period 1'!N23</f>
        <v>0</v>
      </c>
      <c r="AE14" s="126">
        <f>'SDQ Period 2'!N23</f>
        <v>0</v>
      </c>
      <c r="AF14" s="126">
        <f>'SDQ Period 3'!N23</f>
        <v>0</v>
      </c>
      <c r="AG14" s="126">
        <f>'SDQ Period 4'!N23</f>
        <v>0</v>
      </c>
      <c r="AH14" s="126">
        <f>'SDQ Period 5'!N23</f>
        <v>0</v>
      </c>
      <c r="AI14" s="126">
        <f>'SDQ Period 6'!N23</f>
        <v>0</v>
      </c>
      <c r="AJ14" s="126">
        <f>'SDQ Period 7'!N23</f>
        <v>0</v>
      </c>
      <c r="AK14" s="126">
        <f>'SDQ Period 8'!N23</f>
        <v>0</v>
      </c>
      <c r="AL14" s="126">
        <f>'SDQ Period 9'!N23</f>
        <v>0</v>
      </c>
      <c r="AM14" s="83"/>
      <c r="AN14" s="83"/>
      <c r="AO14" s="83"/>
      <c r="AP14" s="83"/>
    </row>
    <row r="15" spans="2:42" x14ac:dyDescent="0.2">
      <c r="B15" s="127" t="s">
        <v>13</v>
      </c>
      <c r="C15" s="125">
        <f>'SDQ Period 1'!K24</f>
        <v>6</v>
      </c>
      <c r="D15" s="126">
        <f>'SDQ Period 2'!K24</f>
        <v>6</v>
      </c>
      <c r="E15" s="126">
        <f>'SDQ Period 3'!K24</f>
        <v>0</v>
      </c>
      <c r="F15" s="126">
        <f>'SDQ Period 4'!K24</f>
        <v>0</v>
      </c>
      <c r="G15" s="126">
        <f>'SDQ Period 5'!K24</f>
        <v>0</v>
      </c>
      <c r="H15" s="126">
        <f>'SDQ Period 6'!K24</f>
        <v>0</v>
      </c>
      <c r="I15" s="125">
        <f>'SDQ Period 7'!K24</f>
        <v>0</v>
      </c>
      <c r="J15" s="125">
        <f>'SDQ Period 8'!K24</f>
        <v>0</v>
      </c>
      <c r="K15" s="125">
        <f>'SDQ Period 9'!K24</f>
        <v>0</v>
      </c>
      <c r="L15" s="125">
        <f>'SDQ Period 1'!L24</f>
        <v>6</v>
      </c>
      <c r="M15" s="125">
        <f>'SDQ Period 2'!L24</f>
        <v>6</v>
      </c>
      <c r="N15" s="125">
        <f>'SDQ Period 3'!L24</f>
        <v>0</v>
      </c>
      <c r="O15" s="125">
        <f>'SDQ Period 4'!L24</f>
        <v>0</v>
      </c>
      <c r="P15" s="125">
        <f>'SDQ Period 5'!L24</f>
        <v>0</v>
      </c>
      <c r="Q15" s="125">
        <f>'SDQ Period 6'!L24</f>
        <v>0</v>
      </c>
      <c r="R15" s="125">
        <f>'SDQ Period 7'!L24</f>
        <v>0</v>
      </c>
      <c r="S15" s="125">
        <f>'SDQ Period 8'!L24</f>
        <v>0</v>
      </c>
      <c r="T15" s="125">
        <f>'SDQ Period 9'!L24</f>
        <v>0</v>
      </c>
      <c r="U15" s="125">
        <f>'SDQ Period 1'!M24</f>
        <v>6</v>
      </c>
      <c r="V15" s="125">
        <f>'SDQ Period 2'!M24</f>
        <v>8</v>
      </c>
      <c r="W15" s="125">
        <f>'SDQ Period 3'!M24</f>
        <v>0</v>
      </c>
      <c r="X15" s="125">
        <f>'SDQ Period 4'!M24</f>
        <v>0</v>
      </c>
      <c r="Y15" s="125">
        <f>'SDQ Period 5'!M24</f>
        <v>0</v>
      </c>
      <c r="Z15" s="125">
        <f>'SDQ Period 6'!M24</f>
        <v>0</v>
      </c>
      <c r="AA15" s="125">
        <f>'SDQ Period 7'!M24</f>
        <v>0</v>
      </c>
      <c r="AB15" s="125">
        <f>'SDQ Period 8'!M24</f>
        <v>0</v>
      </c>
      <c r="AC15" s="125">
        <f>'SDQ Period 9'!M24</f>
        <v>0</v>
      </c>
      <c r="AD15" s="126">
        <f>'SDQ Period 1'!N24</f>
        <v>6</v>
      </c>
      <c r="AE15" s="126">
        <f>'SDQ Period 2'!N24</f>
        <v>6</v>
      </c>
      <c r="AF15" s="126">
        <f>'SDQ Period 3'!N24</f>
        <v>0</v>
      </c>
      <c r="AG15" s="126">
        <f>'SDQ Period 4'!N24</f>
        <v>0</v>
      </c>
      <c r="AH15" s="126">
        <f>'SDQ Period 5'!N24</f>
        <v>0</v>
      </c>
      <c r="AI15" s="126">
        <f>'SDQ Period 6'!N24</f>
        <v>0</v>
      </c>
      <c r="AJ15" s="126">
        <f>'SDQ Period 7'!N24</f>
        <v>0</v>
      </c>
      <c r="AK15" s="126">
        <f>'SDQ Period 8'!N24</f>
        <v>0</v>
      </c>
      <c r="AL15" s="126">
        <f>'SDQ Period 9'!N24</f>
        <v>0</v>
      </c>
      <c r="AM15" s="79" t="s">
        <v>48</v>
      </c>
      <c r="AN15" s="80" t="s">
        <v>59</v>
      </c>
      <c r="AO15" s="81" t="s">
        <v>60</v>
      </c>
      <c r="AP15" s="82"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baseColWidth="10" defaultColWidth="8.83203125" defaultRowHeight="15" x14ac:dyDescent="0.2"/>
  <cols>
    <col min="5" max="5" width="14" customWidth="1"/>
  </cols>
  <sheetData>
    <row r="4" spans="3:17" ht="16" thickBot="1" x14ac:dyDescent="0.25"/>
    <row r="5" spans="3:17" x14ac:dyDescent="0.2">
      <c r="C5" s="10"/>
      <c r="D5" s="12"/>
      <c r="E5" s="12"/>
      <c r="F5" s="12"/>
      <c r="G5" s="12"/>
      <c r="H5" s="12"/>
      <c r="I5" s="12"/>
      <c r="J5" s="12"/>
      <c r="K5" s="12"/>
      <c r="L5" s="12"/>
      <c r="M5" s="12"/>
      <c r="N5" s="12"/>
      <c r="O5" s="12"/>
      <c r="P5" s="12"/>
      <c r="Q5" s="13"/>
    </row>
    <row r="6" spans="3:17" x14ac:dyDescent="0.2">
      <c r="C6" s="4"/>
      <c r="Q6" s="5"/>
    </row>
    <row r="7" spans="3:17" x14ac:dyDescent="0.2">
      <c r="C7" s="4"/>
      <c r="D7" s="1" t="s">
        <v>173</v>
      </c>
      <c r="F7" s="157" t="s">
        <v>157</v>
      </c>
      <c r="G7" s="157"/>
      <c r="H7" s="157"/>
      <c r="I7" s="157"/>
      <c r="J7" s="157"/>
      <c r="K7" s="157"/>
      <c r="L7" s="157"/>
      <c r="M7" s="157"/>
      <c r="N7" s="157"/>
      <c r="O7" s="157"/>
      <c r="P7" s="157"/>
      <c r="Q7" s="5"/>
    </row>
    <row r="8" spans="3:17" x14ac:dyDescent="0.2">
      <c r="C8" s="4"/>
      <c r="F8" s="157" t="s">
        <v>158</v>
      </c>
      <c r="G8" s="157"/>
      <c r="H8" s="157"/>
      <c r="I8" s="157"/>
      <c r="J8" s="157"/>
      <c r="K8" s="157"/>
      <c r="L8" s="157"/>
      <c r="M8" s="157"/>
      <c r="N8" s="157"/>
      <c r="O8" s="18"/>
      <c r="P8" s="18"/>
      <c r="Q8" s="5"/>
    </row>
    <row r="9" spans="3:17" x14ac:dyDescent="0.2">
      <c r="C9" s="4"/>
      <c r="F9" t="s">
        <v>131</v>
      </c>
      <c r="Q9" s="5"/>
    </row>
    <row r="10" spans="3:17" x14ac:dyDescent="0.2">
      <c r="C10" s="4"/>
      <c r="F10" t="s">
        <v>174</v>
      </c>
      <c r="Q10" s="5"/>
    </row>
    <row r="11" spans="3:17" x14ac:dyDescent="0.2">
      <c r="C11" s="4"/>
      <c r="Q11" s="5"/>
    </row>
    <row r="12" spans="3:17" ht="16" thickBot="1" x14ac:dyDescent="0.25">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opLeftCell="A36" zoomScale="90" zoomScaleNormal="90" workbookViewId="0">
      <selection activeCell="A55" sqref="A55"/>
    </sheetView>
  </sheetViews>
  <sheetFormatPr baseColWidth="10" defaultColWidth="9.1640625" defaultRowHeight="15" x14ac:dyDescent="0.2"/>
  <cols>
    <col min="1" max="2" width="9.1640625" style="19"/>
    <col min="3" max="3" width="33" style="19" customWidth="1"/>
    <col min="4" max="4" width="34.5" style="19" customWidth="1"/>
    <col min="5" max="5" width="28.1640625" style="19" customWidth="1"/>
    <col min="6" max="6" width="23.5" style="19" customWidth="1"/>
    <col min="7" max="7" width="11.6640625" style="19" customWidth="1"/>
    <col min="8" max="8" width="22.1640625" style="19" customWidth="1"/>
    <col min="9" max="9" width="13.83203125" style="19" customWidth="1"/>
    <col min="10" max="10" width="24.33203125" style="19" customWidth="1"/>
    <col min="11" max="11" width="40.5" style="19" bestFit="1" customWidth="1"/>
    <col min="12" max="12" width="19.1640625" style="19" customWidth="1"/>
    <col min="13" max="16384" width="9.1640625" style="19"/>
  </cols>
  <sheetData>
    <row r="1" spans="2:13" ht="16" thickBot="1" x14ac:dyDescent="0.25"/>
    <row r="2" spans="2:13" ht="16" thickBot="1" x14ac:dyDescent="0.25">
      <c r="B2" s="20"/>
      <c r="C2" s="21"/>
      <c r="D2" s="21"/>
      <c r="E2" s="21"/>
      <c r="F2" s="21"/>
      <c r="G2" s="21"/>
      <c r="H2" s="21"/>
      <c r="I2" s="21"/>
      <c r="J2" s="21"/>
      <c r="K2" s="21"/>
      <c r="L2" s="21"/>
      <c r="M2" s="22"/>
    </row>
    <row r="3" spans="2:13" ht="16" thickBot="1" x14ac:dyDescent="0.25">
      <c r="B3" s="23"/>
      <c r="D3" s="19" t="s">
        <v>104</v>
      </c>
      <c r="E3" s="94"/>
      <c r="H3" s="25" t="s">
        <v>170</v>
      </c>
      <c r="M3" s="24"/>
    </row>
    <row r="4" spans="2:13" x14ac:dyDescent="0.2">
      <c r="B4" s="23"/>
      <c r="H4" s="25"/>
      <c r="M4" s="24"/>
    </row>
    <row r="5" spans="2:13" x14ac:dyDescent="0.2">
      <c r="B5" s="23"/>
      <c r="H5" s="25" t="s">
        <v>171</v>
      </c>
      <c r="M5" s="24"/>
    </row>
    <row r="6" spans="2:13" ht="16" thickBot="1" x14ac:dyDescent="0.25">
      <c r="B6" s="23"/>
      <c r="C6" s="25"/>
      <c r="H6" s="25"/>
      <c r="M6" s="24"/>
    </row>
    <row r="7" spans="2:13" ht="16" thickBot="1" x14ac:dyDescent="0.25">
      <c r="B7" s="23"/>
      <c r="D7" s="26" t="s">
        <v>155</v>
      </c>
      <c r="E7" s="89"/>
      <c r="F7" s="27"/>
      <c r="H7" s="25" t="s">
        <v>85</v>
      </c>
      <c r="I7" s="25"/>
      <c r="J7" s="25"/>
      <c r="M7" s="24"/>
    </row>
    <row r="8" spans="2:13" ht="16" thickBot="1" x14ac:dyDescent="0.25">
      <c r="B8" s="23"/>
      <c r="D8" s="26" t="s">
        <v>85</v>
      </c>
      <c r="E8" s="90"/>
      <c r="G8" s="27"/>
      <c r="M8" s="24"/>
    </row>
    <row r="9" spans="2:13" ht="16" thickBot="1" x14ac:dyDescent="0.25">
      <c r="B9" s="23"/>
      <c r="D9" s="26" t="s">
        <v>92</v>
      </c>
      <c r="E9" s="89"/>
      <c r="M9" s="24"/>
    </row>
    <row r="10" spans="2:13" x14ac:dyDescent="0.2">
      <c r="B10" s="23"/>
      <c r="D10" s="26"/>
      <c r="E10" s="26"/>
      <c r="M10" s="24"/>
    </row>
    <row r="11" spans="2:13" x14ac:dyDescent="0.2">
      <c r="B11" s="23"/>
      <c r="D11" s="26"/>
      <c r="E11" s="26"/>
      <c r="M11" s="24"/>
    </row>
    <row r="12" spans="2:13" ht="16" thickBot="1" x14ac:dyDescent="0.25">
      <c r="B12" s="23"/>
      <c r="C12" s="25" t="s">
        <v>160</v>
      </c>
      <c r="D12" s="26"/>
      <c r="E12" s="26"/>
      <c r="M12" s="24"/>
    </row>
    <row r="13" spans="2:13" ht="16" thickBot="1" x14ac:dyDescent="0.25">
      <c r="B13" s="23"/>
      <c r="D13" s="26" t="s">
        <v>200</v>
      </c>
      <c r="E13" s="143" t="str">
        <f>'Goal Based Outcomes (GBO)'!Q36</f>
        <v>✓ All in Order</v>
      </c>
      <c r="M13" s="24"/>
    </row>
    <row r="14" spans="2:13" ht="16" thickBot="1" x14ac:dyDescent="0.25">
      <c r="B14" s="23"/>
      <c r="D14" s="26" t="s">
        <v>201</v>
      </c>
      <c r="E14" s="143" t="str">
        <f>IF('&lt;&lt;&lt;Summary SDQs by Period&gt;&gt;&gt;'!H19=0, "", '&lt;&lt;&lt;Summary SDQs by Period&gt;&gt;&gt;'!H19)</f>
        <v/>
      </c>
      <c r="M14" s="24"/>
    </row>
    <row r="15" spans="2:13" ht="16" thickBot="1" x14ac:dyDescent="0.25">
      <c r="B15" s="23"/>
      <c r="D15" s="26"/>
      <c r="E15" s="26"/>
      <c r="M15" s="24"/>
    </row>
    <row r="16" spans="2:13" ht="16" thickBot="1" x14ac:dyDescent="0.25">
      <c r="B16" s="23"/>
      <c r="D16" s="26" t="s">
        <v>115</v>
      </c>
      <c r="E16" s="91" t="str" cm="1">
        <f t="array" ref="E16">IF(SUMPRODUCT(--(TRIM(E29:E37)&lt;&gt;"") + --(TRIM(F29:F37)&lt;&gt;""))=0, "", IF(SUMPRODUCT((E29:E35&lt;&gt;"")*(E30:E36&lt;&gt;"")*(E31:E37&lt;&gt;"")*(F29:F35&lt;&gt;"")*(F30:F36&lt;&gt;"")*(F31:F37&lt;&gt;""))&gt;0, "Complete", "Incomplete"))</f>
        <v>Incomplete</v>
      </c>
      <c r="M16" s="24"/>
    </row>
    <row r="17" spans="2:13" x14ac:dyDescent="0.2">
      <c r="B17" s="23"/>
      <c r="E17" s="92"/>
      <c r="F17" s="27"/>
      <c r="H17" s="27"/>
      <c r="M17" s="24"/>
    </row>
    <row r="18" spans="2:13" ht="16" thickBot="1" x14ac:dyDescent="0.25">
      <c r="B18" s="23"/>
      <c r="E18" s="92"/>
      <c r="F18" s="27"/>
      <c r="H18" s="27"/>
      <c r="M18" s="24"/>
    </row>
    <row r="19" spans="2:13" ht="16" thickBot="1" x14ac:dyDescent="0.25">
      <c r="B19" s="23"/>
      <c r="D19" s="26" t="s">
        <v>153</v>
      </c>
      <c r="E19" s="93" t="str">
        <f>E56</f>
        <v/>
      </c>
      <c r="H19" s="27"/>
      <c r="M19" s="24"/>
    </row>
    <row r="20" spans="2:13" ht="16" thickBot="1" x14ac:dyDescent="0.25">
      <c r="B20" s="23"/>
      <c r="E20" s="92"/>
      <c r="F20" s="27"/>
      <c r="H20" s="27"/>
      <c r="M20" s="24"/>
    </row>
    <row r="21" spans="2:13" ht="16" thickBot="1" x14ac:dyDescent="0.25">
      <c r="B21" s="23"/>
      <c r="D21" s="25" t="s">
        <v>110</v>
      </c>
      <c r="E21" s="93" t="str">
        <f>IF(COUNTA(E7, E9, E13, E14, E16, E19) &lt; 5, "", IF(AND(E7="Yes", E9="Yes", E16="Complete", E13="✓ All in Order", , E14="✓ All in Order", E19="Yes"), "Yes", "No"))</f>
        <v/>
      </c>
      <c r="F21" s="27"/>
      <c r="H21" s="27"/>
      <c r="M21" s="24"/>
    </row>
    <row r="22" spans="2:13" x14ac:dyDescent="0.2">
      <c r="B22" s="23"/>
      <c r="E22" s="27"/>
      <c r="F22" s="27"/>
      <c r="H22" s="27"/>
      <c r="M22" s="24"/>
    </row>
    <row r="23" spans="2:13" ht="16" thickBot="1" x14ac:dyDescent="0.25">
      <c r="B23" s="46"/>
      <c r="C23" s="47"/>
      <c r="D23" s="47"/>
      <c r="E23" s="98"/>
      <c r="F23" s="98"/>
      <c r="G23" s="47"/>
      <c r="H23" s="98"/>
      <c r="I23" s="47"/>
      <c r="J23" s="47"/>
      <c r="K23" s="47"/>
      <c r="L23" s="47"/>
      <c r="M23" s="48"/>
    </row>
    <row r="24" spans="2:13" x14ac:dyDescent="0.2">
      <c r="B24" s="23"/>
      <c r="E24" s="27"/>
      <c r="F24" s="27"/>
      <c r="H24" s="27"/>
      <c r="M24" s="24"/>
    </row>
    <row r="25" spans="2:13" ht="16" thickBot="1" x14ac:dyDescent="0.25">
      <c r="B25" s="23"/>
      <c r="C25" s="25" t="s">
        <v>159</v>
      </c>
      <c r="E25" s="27"/>
      <c r="F25" s="27"/>
      <c r="H25" s="27"/>
      <c r="M25" s="24"/>
    </row>
    <row r="26" spans="2:13" ht="16" thickBot="1" x14ac:dyDescent="0.25">
      <c r="B26" s="23"/>
      <c r="E26" s="151" t="s">
        <v>118</v>
      </c>
      <c r="F26" s="153"/>
      <c r="G26" s="29"/>
      <c r="H26" s="148" t="s">
        <v>119</v>
      </c>
      <c r="I26" s="149"/>
      <c r="J26" s="149"/>
      <c r="K26" s="149"/>
      <c r="L26" s="150"/>
      <c r="M26" s="24"/>
    </row>
    <row r="27" spans="2:13" ht="16" thickBot="1" x14ac:dyDescent="0.25">
      <c r="B27" s="23"/>
      <c r="E27" s="30" t="s">
        <v>91</v>
      </c>
      <c r="F27" s="30" t="s">
        <v>91</v>
      </c>
      <c r="G27" s="29"/>
      <c r="H27" s="171" t="s">
        <v>123</v>
      </c>
      <c r="I27" s="172"/>
      <c r="J27" s="172"/>
      <c r="K27" s="172"/>
      <c r="L27" s="173"/>
      <c r="M27" s="24"/>
    </row>
    <row r="28" spans="2:13" ht="16" thickBot="1" x14ac:dyDescent="0.25">
      <c r="B28" s="23"/>
      <c r="D28" s="31" t="s">
        <v>78</v>
      </c>
      <c r="E28" s="32" t="s">
        <v>114</v>
      </c>
      <c r="F28" s="32" t="s">
        <v>111</v>
      </c>
      <c r="H28" s="33" t="s">
        <v>102</v>
      </c>
      <c r="I28" s="34" t="s">
        <v>85</v>
      </c>
      <c r="J28" s="34" t="s">
        <v>122</v>
      </c>
      <c r="K28" s="29" t="s">
        <v>156</v>
      </c>
      <c r="L28" s="35" t="s">
        <v>85</v>
      </c>
      <c r="M28" s="24"/>
    </row>
    <row r="29" spans="2:13" x14ac:dyDescent="0.2">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45880</v>
      </c>
      <c r="F29" s="50" t="str">
        <f>IF('SDQ Period 1'!D6&lt;&gt;"", 'SDQ Period 1'!D6, "")</f>
        <v/>
      </c>
      <c r="H29" s="37"/>
      <c r="I29" s="38"/>
      <c r="J29" s="38"/>
      <c r="K29" s="39"/>
      <c r="L29" s="40"/>
      <c r="M29" s="24"/>
    </row>
    <row r="30" spans="2:13" x14ac:dyDescent="0.2">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45911</v>
      </c>
      <c r="F30" s="52" t="str">
        <f>IF('SDQ Period 2'!D6&lt;&gt;"", 'SDQ Period 2'!D6, "")</f>
        <v/>
      </c>
      <c r="H30" s="37"/>
      <c r="I30" s="38"/>
      <c r="J30" s="38"/>
      <c r="K30" s="39"/>
      <c r="L30" s="40"/>
      <c r="M30" s="24"/>
    </row>
    <row r="31" spans="2:13" x14ac:dyDescent="0.2">
      <c r="B31" s="23"/>
      <c r="D31" s="36" t="s">
        <v>77</v>
      </c>
      <c r="E31" s="51" t="str">
        <f>IF('Goal Based Outcomes (GBO)'!D15&lt;&gt;"", 'Goal Based Outcomes (GBO)'!D15, IF('Goal Based Outcomes (GBO)'!D38&lt;&gt;"", 'Goal Based Outcomes (GBO)'!D38, IF('Goal Based Outcomes (GBO)'!D61&lt;&gt;"", 'Goal Based Outcomes (GBO)'!D61, IF('Goal Based Outcomes (GBO)'!D84&lt;&gt;"",'Goal Based Outcomes (GBO)'!D84, ""))))</f>
        <v/>
      </c>
      <c r="F31" s="52" t="str">
        <f>IF('SDQ Period 3'!D6&lt;&gt;"", 'SDQ Period 3'!D6, "")</f>
        <v/>
      </c>
      <c r="H31" s="37"/>
      <c r="I31" s="38"/>
      <c r="J31" s="38"/>
      <c r="K31" s="39"/>
      <c r="L31" s="40"/>
      <c r="M31" s="24"/>
    </row>
    <row r="32" spans="2:13" x14ac:dyDescent="0.2">
      <c r="B32" s="23"/>
      <c r="D32" s="36" t="s">
        <v>79</v>
      </c>
      <c r="E32" s="51" t="str">
        <f>IF('Goal Based Outcomes (GBO)'!D16&lt;&gt;"", 'Goal Based Outcomes (GBO)'!D16, IF('Goal Based Outcomes (GBO)'!D39&lt;&gt;"", 'Goal Based Outcomes (GBO)'!D39, IF('Goal Based Outcomes (GBO)'!D62&lt;&gt;"", 'Goal Based Outcomes (GBO)'!D62, IF('Goal Based Outcomes (GBO)'!D85&lt;&gt;"",'Goal Based Outcomes (GBO)'!D85, ""))))</f>
        <v/>
      </c>
      <c r="F32" s="52" t="str">
        <f>IF('SDQ Period 4'!D6&lt;&gt;"", 'SDQ Period 4'!D6, "")</f>
        <v/>
      </c>
      <c r="H32" s="37"/>
      <c r="I32" s="38"/>
      <c r="J32" s="38"/>
      <c r="K32" s="39"/>
      <c r="L32" s="40"/>
      <c r="M32" s="24"/>
    </row>
    <row r="33" spans="2:13" x14ac:dyDescent="0.2">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6" thickBot="1" x14ac:dyDescent="0.25">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6" thickBot="1" x14ac:dyDescent="0.25">
      <c r="B38" s="46"/>
      <c r="C38" s="47"/>
      <c r="D38" s="47"/>
      <c r="E38" s="47"/>
      <c r="F38" s="47"/>
      <c r="G38" s="47"/>
      <c r="H38" s="47"/>
      <c r="I38" s="47"/>
      <c r="J38" s="47"/>
      <c r="K38" s="47"/>
      <c r="L38" s="47"/>
      <c r="M38" s="48"/>
    </row>
    <row r="39" spans="2:13" ht="16" thickBot="1" x14ac:dyDescent="0.25"/>
    <row r="40" spans="2:13" x14ac:dyDescent="0.2">
      <c r="B40" s="20"/>
      <c r="C40" s="21"/>
      <c r="D40" s="21"/>
      <c r="E40" s="21"/>
      <c r="F40" s="21"/>
      <c r="G40" s="21"/>
      <c r="H40" s="21"/>
      <c r="I40" s="21"/>
      <c r="J40" s="21"/>
      <c r="K40" s="21"/>
      <c r="L40" s="21"/>
      <c r="M40" s="22"/>
    </row>
    <row r="41" spans="2:13" ht="16" thickBot="1" x14ac:dyDescent="0.25">
      <c r="B41" s="84"/>
      <c r="C41" s="25" t="s">
        <v>139</v>
      </c>
      <c r="D41" s="25"/>
      <c r="E41" s="25"/>
      <c r="M41" s="24"/>
    </row>
    <row r="42" spans="2:13" ht="16" thickBot="1" x14ac:dyDescent="0.25">
      <c r="B42" s="84"/>
      <c r="C42" s="25"/>
      <c r="D42" s="60" t="s">
        <v>141</v>
      </c>
      <c r="E42" s="62" t="s">
        <v>142</v>
      </c>
      <c r="F42" s="151" t="s">
        <v>154</v>
      </c>
      <c r="G42" s="152"/>
      <c r="H42" s="152"/>
      <c r="I42" s="152"/>
      <c r="J42" s="152"/>
      <c r="K42" s="152"/>
      <c r="L42" s="153"/>
      <c r="M42" s="24"/>
    </row>
    <row r="43" spans="2:13" ht="16" thickBot="1" x14ac:dyDescent="0.25">
      <c r="B43" s="84"/>
      <c r="C43" s="25"/>
      <c r="D43" s="29"/>
      <c r="E43" s="29"/>
      <c r="M43" s="24"/>
    </row>
    <row r="44" spans="2:13" x14ac:dyDescent="0.2">
      <c r="B44" s="23"/>
      <c r="C44" s="86" t="s">
        <v>140</v>
      </c>
      <c r="D44" s="107" t="str">
        <f>IF(COUNTA('Demographic Information'!A2:N2)=0, "",
   IF(COUNTA('Demographic Information'!A2:N2)=COLUMNS('Demographic Information'!A2:N2), "Complete", "Incomplete"))</f>
        <v>Complete</v>
      </c>
      <c r="E44" s="95"/>
      <c r="F44" s="174"/>
      <c r="G44" s="174"/>
      <c r="H44" s="174"/>
      <c r="I44" s="174"/>
      <c r="J44" s="174"/>
      <c r="K44" s="174"/>
      <c r="L44" s="175"/>
      <c r="M44" s="24"/>
    </row>
    <row r="45" spans="2:13" ht="16" x14ac:dyDescent="0.2">
      <c r="B45" s="23"/>
      <c r="C45" s="87" t="s">
        <v>143</v>
      </c>
      <c r="D45" s="108" t="str">
        <f>IF(COUNTA('Goal Based Outcomes (GBO)'!L33:Q33)=0, "",
   IF(COUNTIF('Goal Based Outcomes (GBO)'!L33:Q33, "Incomplete")&gt;0, "Incomplete",
   IF(COUNTIF('Goal Based Outcomes (GBO)'!L33:Q33, "Complete")&gt;0, "Complete", "")))</f>
        <v>Incomplete</v>
      </c>
      <c r="E45" s="96"/>
      <c r="F45" s="176"/>
      <c r="G45" s="176"/>
      <c r="H45" s="176"/>
      <c r="I45" s="176"/>
      <c r="J45" s="176"/>
      <c r="K45" s="176"/>
      <c r="L45" s="177"/>
      <c r="M45" s="24"/>
    </row>
    <row r="46" spans="2:13" x14ac:dyDescent="0.2">
      <c r="B46" s="23"/>
      <c r="C46" s="87" t="s">
        <v>144</v>
      </c>
      <c r="D46" s="109" t="str" cm="1">
        <f t="array" ref="D46">IF(SUMPRODUCT(--(TRIM('SDQ Period 1'!K45:K48)&lt;&gt;""))=0, "", IF(COUNTIF('SDQ Period 1'!K45:K48, "Incomplete")&gt;0, "Incomplete", "Complete"))</f>
        <v>Incomplete</v>
      </c>
      <c r="E46" s="96"/>
      <c r="F46" s="176"/>
      <c r="G46" s="176"/>
      <c r="H46" s="176"/>
      <c r="I46" s="176"/>
      <c r="J46" s="176"/>
      <c r="K46" s="176"/>
      <c r="L46" s="177"/>
      <c r="M46" s="24"/>
    </row>
    <row r="47" spans="2:13" x14ac:dyDescent="0.2">
      <c r="B47" s="23"/>
      <c r="C47" s="87" t="s">
        <v>145</v>
      </c>
      <c r="D47" s="109" t="str" cm="1">
        <f t="array" ref="D47">IF(SUMPRODUCT(--(TRIM('SDQ Period 2'!K45:K48)&lt;&gt;""))=0, "", IF(COUNTIF('SDQ Period 2'!K45:K48, "Incomplete")&gt;0, "Incomplete", "Complete"))</f>
        <v>Incomplete</v>
      </c>
      <c r="E47" s="96"/>
      <c r="F47" s="176"/>
      <c r="G47" s="176"/>
      <c r="H47" s="176"/>
      <c r="I47" s="176"/>
      <c r="J47" s="176"/>
      <c r="K47" s="176"/>
      <c r="L47" s="177"/>
      <c r="M47" s="24"/>
    </row>
    <row r="48" spans="2:13" x14ac:dyDescent="0.2">
      <c r="B48" s="23"/>
      <c r="C48" s="87" t="s">
        <v>146</v>
      </c>
      <c r="D48" s="109" t="str" cm="1">
        <f t="array" ref="D48">IF(SUMPRODUCT(--(TRIM('SDQ Period 3'!K45:K48)&lt;&gt;""))=0, "", IF(COUNTIF('SDQ Period 3'!K45:K48, "Incomplete")&gt;0, "Incomplete", "Complete"))</f>
        <v/>
      </c>
      <c r="E48" s="96"/>
      <c r="F48" s="176"/>
      <c r="G48" s="176"/>
      <c r="H48" s="176"/>
      <c r="I48" s="176"/>
      <c r="J48" s="176"/>
      <c r="K48" s="176"/>
      <c r="L48" s="177"/>
      <c r="M48" s="24"/>
    </row>
    <row r="49" spans="2:13" x14ac:dyDescent="0.2">
      <c r="B49" s="23"/>
      <c r="C49" s="87" t="s">
        <v>147</v>
      </c>
      <c r="D49" s="109" t="str" cm="1">
        <f t="array" ref="D49">IF(SUMPRODUCT(--(TRIM('SDQ Period 4'!K45:K48)&lt;&gt;""))=0, "", IF(COUNTIF('SDQ Period 4'!K45:K48, "Incomplete")&gt;0, "Incomplete", "Complete"))</f>
        <v/>
      </c>
      <c r="E49" s="96"/>
      <c r="F49" s="176"/>
      <c r="G49" s="176"/>
      <c r="H49" s="176"/>
      <c r="I49" s="176"/>
      <c r="J49" s="176"/>
      <c r="K49" s="176"/>
      <c r="L49" s="177"/>
      <c r="M49" s="24"/>
    </row>
    <row r="50" spans="2:13" x14ac:dyDescent="0.2">
      <c r="B50" s="23"/>
      <c r="C50" s="87" t="s">
        <v>148</v>
      </c>
      <c r="D50" s="109" t="str" cm="1">
        <f t="array" ref="D50">IF(SUMPRODUCT(--(TRIM('SDQ Period 5'!K45:K48)&lt;&gt;""))=0, "", IF(COUNTIF('SDQ Period 5'!K45:K48, "Incomplete")&gt;0, "Incomplete", "Complete"))</f>
        <v/>
      </c>
      <c r="E50" s="96"/>
      <c r="F50" s="176"/>
      <c r="G50" s="176"/>
      <c r="H50" s="176"/>
      <c r="I50" s="176"/>
      <c r="J50" s="176"/>
      <c r="K50" s="176"/>
      <c r="L50" s="177"/>
      <c r="M50" s="24"/>
    </row>
    <row r="51" spans="2:13" x14ac:dyDescent="0.2">
      <c r="B51" s="23"/>
      <c r="C51" s="87" t="s">
        <v>149</v>
      </c>
      <c r="D51" s="109" t="str" cm="1">
        <f t="array" ref="D51">IF(SUMPRODUCT(--(TRIM('SDQ Period 6'!K45:K48)&lt;&gt;""))=0, "", IF(COUNTIF('SDQ Period 6'!K45:K48, "Incomplete")&gt;0, "Incomplete", "Complete"))</f>
        <v/>
      </c>
      <c r="E51" s="96"/>
      <c r="F51" s="176"/>
      <c r="G51" s="176"/>
      <c r="H51" s="176"/>
      <c r="I51" s="176"/>
      <c r="J51" s="176"/>
      <c r="K51" s="176"/>
      <c r="L51" s="177"/>
      <c r="M51" s="24"/>
    </row>
    <row r="52" spans="2:13" x14ac:dyDescent="0.2">
      <c r="B52" s="23"/>
      <c r="C52" s="87" t="s">
        <v>150</v>
      </c>
      <c r="D52" s="109" t="str" cm="1">
        <f t="array" ref="D52">IF(SUMPRODUCT(--(TRIM('SDQ Period 7'!K45:K48)&lt;&gt;""))=0, "", IF(COUNTIF('SDQ Period 7'!K45:K48, "Incomplete")&gt;0, "Incomplete", "Complete"))</f>
        <v/>
      </c>
      <c r="E52" s="96"/>
      <c r="F52" s="176"/>
      <c r="G52" s="176"/>
      <c r="H52" s="176"/>
      <c r="I52" s="176"/>
      <c r="J52" s="176"/>
      <c r="K52" s="176"/>
      <c r="L52" s="177"/>
      <c r="M52" s="24"/>
    </row>
    <row r="53" spans="2:13" x14ac:dyDescent="0.2">
      <c r="B53" s="23"/>
      <c r="C53" s="87" t="s">
        <v>151</v>
      </c>
      <c r="D53" s="109" t="str" cm="1">
        <f t="array" ref="D53">IF(SUMPRODUCT(--(TRIM('SDQ Period 8'!K45:K48)&lt;&gt;""))=0, "", IF(COUNTIF('SDQ Period 8'!K45:K48, "Incomplete")&gt;0, "Incomplete", "Complete"))</f>
        <v/>
      </c>
      <c r="E53" s="96"/>
      <c r="F53" s="176"/>
      <c r="G53" s="176"/>
      <c r="H53" s="176"/>
      <c r="I53" s="176"/>
      <c r="J53" s="176"/>
      <c r="K53" s="176"/>
      <c r="L53" s="177"/>
      <c r="M53" s="24"/>
    </row>
    <row r="54" spans="2:13" ht="16" thickBot="1" x14ac:dyDescent="0.25">
      <c r="B54" s="23"/>
      <c r="C54" s="88" t="s">
        <v>152</v>
      </c>
      <c r="D54" s="110" t="str" cm="1">
        <f t="array" ref="D54">IF(SUMPRODUCT(--(TRIM('SDQ Period 9'!K45:K48)&lt;&gt;""))=0, "", IF(COUNTIF('SDQ Period 9'!K45:K48, "Incomplete")&gt;0, "Incomplete", "Complete"))</f>
        <v/>
      </c>
      <c r="E54" s="97"/>
      <c r="F54" s="178"/>
      <c r="G54" s="178"/>
      <c r="H54" s="178"/>
      <c r="I54" s="178"/>
      <c r="J54" s="178"/>
      <c r="K54" s="178"/>
      <c r="L54" s="179"/>
      <c r="M54" s="24"/>
    </row>
    <row r="55" spans="2:13" ht="16" thickBot="1" x14ac:dyDescent="0.25">
      <c r="B55" s="23"/>
      <c r="M55" s="24"/>
    </row>
    <row r="56" spans="2:13" ht="16" thickBot="1" x14ac:dyDescent="0.25">
      <c r="B56" s="23"/>
      <c r="E56" s="85" t="str">
        <f>IF(COUNTA(E44:E54)=0, "", IF(COUNTIF(E44:E54, "No")&gt;0, "No", "Yes"))</f>
        <v/>
      </c>
      <c r="F56" s="19" t="s">
        <v>161</v>
      </c>
      <c r="M56" s="24"/>
    </row>
    <row r="57" spans="2:13" ht="16" thickBot="1" x14ac:dyDescent="0.25">
      <c r="B57" s="46"/>
      <c r="C57" s="47"/>
      <c r="D57" s="47"/>
      <c r="E57" s="47"/>
      <c r="F57" s="47"/>
      <c r="G57" s="47"/>
      <c r="H57" s="47"/>
      <c r="I57" s="47"/>
      <c r="J57" s="47"/>
      <c r="K57" s="47"/>
      <c r="L57" s="47"/>
      <c r="M57" s="48"/>
    </row>
  </sheetData>
  <sheetProtection algorithmName="SHA-512" hashValue="meQlOIUyLBIuMEmLULxOJ5BN6ywfQKo/ce77jYeQOok4oymmYE6uhv4CE50s1CJqAdhs10ldO7sl02oDeL3B4Q==" saltValue="S188sJ2TnHkDHo5hfVrlJg==" spinCount="100000" sheet="1" selectLockedCells="1"/>
  <mergeCells count="15">
    <mergeCell ref="F50:L50"/>
    <mergeCell ref="F51:L51"/>
    <mergeCell ref="F52:L52"/>
    <mergeCell ref="F53:L53"/>
    <mergeCell ref="F54:L54"/>
    <mergeCell ref="F45:L45"/>
    <mergeCell ref="F46:L46"/>
    <mergeCell ref="F47:L47"/>
    <mergeCell ref="F48:L48"/>
    <mergeCell ref="F49:L49"/>
    <mergeCell ref="H26:L26"/>
    <mergeCell ref="E26:F26"/>
    <mergeCell ref="H27:L27"/>
    <mergeCell ref="F42:L42"/>
    <mergeCell ref="F44:L4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baseColWidth="10" defaultColWidth="8.83203125" defaultRowHeight="15" x14ac:dyDescent="0.2"/>
  <sheetData>
    <row r="5" spans="3:12" ht="21" x14ac:dyDescent="0.25">
      <c r="C5" s="9" t="s">
        <v>101</v>
      </c>
      <c r="D5" s="9"/>
      <c r="E5" s="9"/>
      <c r="F5" s="9"/>
      <c r="G5" s="9"/>
      <c r="H5" s="9"/>
      <c r="I5" s="9"/>
      <c r="J5" s="9"/>
      <c r="K5" s="9"/>
      <c r="L5" s="9"/>
    </row>
    <row r="6" spans="3:12" ht="21" x14ac:dyDescent="0.25">
      <c r="C6" s="9"/>
      <c r="D6" s="9"/>
      <c r="E6" s="9"/>
      <c r="F6" s="9"/>
      <c r="G6" s="9"/>
      <c r="H6" s="9"/>
      <c r="I6" s="9"/>
      <c r="J6" s="9"/>
      <c r="K6" s="9"/>
      <c r="L6" s="9"/>
    </row>
    <row r="7" spans="3:12" x14ac:dyDescent="0.2">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2026-04-06T14:17:20Z</dcterms:modified>
</cp:coreProperties>
</file>