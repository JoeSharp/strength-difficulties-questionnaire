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fileSharing readOnlyRecommended="1"/>
  <workbookPr filterPrivacy="1"/>
  <xr:revisionPtr revIDLastSave="0" documentId="13_ncr:1_{E93F4B98-92AD-FB48-BF53-571BABB717B8}" xr6:coauthVersionLast="47" xr6:coauthVersionMax="47" xr10:uidLastSave="{00000000-0000-0000-0000-000000000000}"/>
  <bookViews>
    <workbookView xWindow="0" yWindow="0" windowWidth="28800" windowHeight="18000" activeTab="2" xr2:uid="{00000000-000D-0000-FFFF-FFFF00000000}"/>
  </bookViews>
  <sheets>
    <sheet name="Instructions for Use" sheetId="11" r:id="rId1"/>
    <sheet name="&lt;&lt;&lt;Data Input&gt;&gt;&gt;" sheetId="12" r:id="rId2"/>
    <sheet name="Demographic Information" sheetId="1" r:id="rId3"/>
    <sheet name="Goal Based Outcomes (GBO)" sheetId="25" r:id="rId4"/>
    <sheet name="SDQ Period 1" sheetId="7" r:id="rId5"/>
    <sheet name="SDQ Period 2" sheetId="16" r:id="rId6"/>
    <sheet name="SDQ Period 3" sheetId="17" r:id="rId7"/>
    <sheet name="SDQ Period 4" sheetId="18" r:id="rId8"/>
    <sheet name="SDQ Period 5" sheetId="19" r:id="rId9"/>
    <sheet name="SDQ Period 6" sheetId="20" r:id="rId10"/>
    <sheet name="SDQ Period 7" sheetId="21" r:id="rId11"/>
    <sheet name="SDQ Period 8" sheetId="22" r:id="rId12"/>
    <sheet name="SDQ Period 9" sheetId="23" r:id="rId13"/>
    <sheet name="&lt;&lt;&lt;Summary SDQs by Period&gt;&gt;&gt;" sheetId="33" r:id="rId14"/>
    <sheet name="Summary SDQs Periods 1-3" sheetId="29" r:id="rId15"/>
    <sheet name="Summary SDQs Periods 1-6" sheetId="30" r:id="rId16"/>
    <sheet name="Summary SDQs Periods 1-9" sheetId="32" r:id="rId17"/>
    <sheet name="&lt;&lt;&lt;Data Checks &amp; Verification&gt;&gt;" sheetId="27" r:id="rId18"/>
    <sheet name="Audit" sheetId="6" r:id="rId19"/>
    <sheet name="Version Control" sheetId="13" r:id="rId20"/>
  </sheets>
  <definedNames>
    <definedName name="_xlnm._FilterDatabase" localSheetId="18" hidden="1">Audit!$B$1:$K$38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6" l="1"/>
  <c r="D44" i="6" l="1"/>
  <c r="H7" i="29"/>
  <c r="H8" i="29"/>
  <c r="H9" i="29"/>
  <c r="H10" i="29"/>
  <c r="H11" i="29"/>
  <c r="H12" i="29"/>
  <c r="H13" i="29"/>
  <c r="H14" i="29"/>
  <c r="H15" i="29"/>
  <c r="H6" i="29"/>
  <c r="D54" i="6" l="1" a="1"/>
  <c r="D54" i="6" s="1"/>
  <c r="D53" i="6" a="1"/>
  <c r="D53" i="6" s="1"/>
  <c r="D52" i="6" a="1"/>
  <c r="D52" i="6" s="1"/>
  <c r="D51" i="6" a="1"/>
  <c r="D51" i="6" s="1"/>
  <c r="D50" i="6" a="1"/>
  <c r="D50" i="6" s="1"/>
  <c r="D49" i="6" a="1"/>
  <c r="D49" i="6" s="1"/>
  <c r="D48" i="6" a="1"/>
  <c r="D48" i="6" s="1"/>
  <c r="D47" i="6" a="1"/>
  <c r="D47" i="6" s="1"/>
  <c r="D46" i="6" a="1"/>
  <c r="D46" i="6" s="1"/>
  <c r="AL7" i="32"/>
  <c r="AL8" i="32"/>
  <c r="AL9" i="32"/>
  <c r="AL10" i="32"/>
  <c r="AL11" i="32"/>
  <c r="AL12" i="32"/>
  <c r="AL13" i="32"/>
  <c r="AL14" i="32"/>
  <c r="AL15" i="32"/>
  <c r="AK7" i="32"/>
  <c r="AK8" i="32"/>
  <c r="AK9" i="32"/>
  <c r="AK10" i="32"/>
  <c r="AK11" i="32"/>
  <c r="AK12" i="32"/>
  <c r="AK13" i="32"/>
  <c r="AK14" i="32"/>
  <c r="AK15" i="32"/>
  <c r="AJ7" i="32"/>
  <c r="AJ8" i="32"/>
  <c r="AJ9" i="32"/>
  <c r="AJ10" i="32"/>
  <c r="AJ11" i="32"/>
  <c r="AJ12" i="32"/>
  <c r="AJ13" i="32"/>
  <c r="AJ14" i="32"/>
  <c r="AJ15" i="32"/>
  <c r="AI7" i="32"/>
  <c r="AI8" i="32"/>
  <c r="AI9" i="32"/>
  <c r="AI10" i="32"/>
  <c r="AI11" i="32"/>
  <c r="AI12" i="32"/>
  <c r="AI13" i="32"/>
  <c r="AI14" i="32"/>
  <c r="AI15" i="32"/>
  <c r="AH7" i="32"/>
  <c r="AH8" i="32"/>
  <c r="AH9" i="32"/>
  <c r="AH10" i="32"/>
  <c r="AH11" i="32"/>
  <c r="AH12" i="32"/>
  <c r="AH13" i="32"/>
  <c r="AH14" i="32"/>
  <c r="AH15" i="32"/>
  <c r="AG7" i="32"/>
  <c r="AG8" i="32"/>
  <c r="AG9" i="32"/>
  <c r="AG10" i="32"/>
  <c r="AG11" i="32"/>
  <c r="AG12" i="32"/>
  <c r="AG13" i="32"/>
  <c r="AG14" i="32"/>
  <c r="AG15" i="32"/>
  <c r="AF7" i="32"/>
  <c r="AF8" i="32"/>
  <c r="AF9" i="32"/>
  <c r="AF10" i="32"/>
  <c r="AF11" i="32"/>
  <c r="AF12" i="32"/>
  <c r="AF13" i="32"/>
  <c r="AF14" i="32"/>
  <c r="AF15" i="32"/>
  <c r="AE7" i="32"/>
  <c r="AE8" i="32"/>
  <c r="AE9" i="32"/>
  <c r="AE10" i="32"/>
  <c r="AE11" i="32"/>
  <c r="AE12" i="32"/>
  <c r="AE13" i="32"/>
  <c r="AE14" i="32"/>
  <c r="AE15" i="32"/>
  <c r="AD15" i="32"/>
  <c r="AD7" i="32"/>
  <c r="AD8" i="32"/>
  <c r="AD9" i="32"/>
  <c r="AD10" i="32"/>
  <c r="AD11" i="32"/>
  <c r="AD12" i="32"/>
  <c r="AD13" i="32"/>
  <c r="AD14" i="32"/>
  <c r="AL6" i="32"/>
  <c r="AK6" i="32"/>
  <c r="AJ6" i="32"/>
  <c r="AI6" i="32"/>
  <c r="AH6" i="32"/>
  <c r="AG6" i="32"/>
  <c r="AF6" i="32"/>
  <c r="AE6" i="32"/>
  <c r="AD6" i="32"/>
  <c r="Z7" i="30"/>
  <c r="Z8" i="30"/>
  <c r="Z9" i="30"/>
  <c r="Z10" i="30"/>
  <c r="Z11" i="30"/>
  <c r="Z12" i="30"/>
  <c r="Z13" i="30"/>
  <c r="Z14" i="30"/>
  <c r="Z15" i="30"/>
  <c r="Z6" i="30"/>
  <c r="Y7" i="30"/>
  <c r="Y8" i="30"/>
  <c r="Y9" i="30"/>
  <c r="Y10" i="30"/>
  <c r="Y11" i="30"/>
  <c r="Y12" i="30"/>
  <c r="Y13" i="30"/>
  <c r="Y14" i="30"/>
  <c r="Y15" i="30"/>
  <c r="Y6" i="30"/>
  <c r="X7" i="30"/>
  <c r="X8" i="30"/>
  <c r="X9" i="30"/>
  <c r="X10" i="30"/>
  <c r="X11" i="30"/>
  <c r="X12" i="30"/>
  <c r="X13" i="30"/>
  <c r="X14" i="30"/>
  <c r="X15" i="30"/>
  <c r="X6" i="30"/>
  <c r="W7" i="30"/>
  <c r="W8" i="30"/>
  <c r="W9" i="30"/>
  <c r="W10" i="30"/>
  <c r="W11" i="30"/>
  <c r="W12" i="30"/>
  <c r="W13" i="30"/>
  <c r="W14" i="30"/>
  <c r="W15" i="30"/>
  <c r="W6" i="30"/>
  <c r="V7" i="30"/>
  <c r="V8" i="30"/>
  <c r="V9" i="30"/>
  <c r="V10" i="30"/>
  <c r="V11" i="30"/>
  <c r="V12" i="30"/>
  <c r="V13" i="30"/>
  <c r="V14" i="30"/>
  <c r="V15" i="30"/>
  <c r="V6" i="30"/>
  <c r="U6" i="30"/>
  <c r="U7" i="30"/>
  <c r="U8" i="30"/>
  <c r="U9" i="30"/>
  <c r="U10" i="30"/>
  <c r="U11" i="30"/>
  <c r="U12" i="30"/>
  <c r="U13" i="30"/>
  <c r="U14" i="30"/>
  <c r="U15" i="30"/>
  <c r="N6" i="29"/>
  <c r="N7" i="29"/>
  <c r="N8" i="29"/>
  <c r="N9" i="29"/>
  <c r="N10" i="29"/>
  <c r="N11" i="29"/>
  <c r="N12" i="29"/>
  <c r="N13" i="29"/>
  <c r="N14" i="29"/>
  <c r="N15" i="29"/>
  <c r="M7" i="29"/>
  <c r="M8" i="29"/>
  <c r="M9" i="29"/>
  <c r="M10" i="29"/>
  <c r="M11" i="29"/>
  <c r="M12" i="29"/>
  <c r="M13" i="29"/>
  <c r="M14" i="29"/>
  <c r="M15" i="29"/>
  <c r="M6" i="29"/>
  <c r="L7" i="29"/>
  <c r="L8" i="29"/>
  <c r="L9" i="29"/>
  <c r="L10" i="29"/>
  <c r="L11" i="29"/>
  <c r="L12" i="29"/>
  <c r="L13" i="29"/>
  <c r="L14" i="29"/>
  <c r="L15" i="29"/>
  <c r="L6" i="29"/>
  <c r="T15" i="30"/>
  <c r="S15" i="30"/>
  <c r="R15" i="30"/>
  <c r="Q15" i="30"/>
  <c r="P15" i="30"/>
  <c r="O15" i="30"/>
  <c r="T14" i="30"/>
  <c r="S14" i="30"/>
  <c r="R14" i="30"/>
  <c r="Q14" i="30"/>
  <c r="P14" i="30"/>
  <c r="O14" i="30"/>
  <c r="T13" i="30"/>
  <c r="S13" i="30"/>
  <c r="R13" i="30"/>
  <c r="Q13" i="30"/>
  <c r="P13" i="30"/>
  <c r="O13" i="30"/>
  <c r="T12" i="30"/>
  <c r="S12" i="30"/>
  <c r="R12" i="30"/>
  <c r="Q12" i="30"/>
  <c r="P12" i="30"/>
  <c r="O12" i="30"/>
  <c r="T11" i="30"/>
  <c r="S11" i="30"/>
  <c r="R11" i="30"/>
  <c r="Q11" i="30"/>
  <c r="P11" i="30"/>
  <c r="O11" i="30"/>
  <c r="T10" i="30"/>
  <c r="S10" i="30"/>
  <c r="R10" i="30"/>
  <c r="Q10" i="30"/>
  <c r="P10" i="30"/>
  <c r="O10" i="30"/>
  <c r="T9" i="30"/>
  <c r="S9" i="30"/>
  <c r="R9" i="30"/>
  <c r="Q9" i="30"/>
  <c r="P9" i="30"/>
  <c r="O9" i="30"/>
  <c r="T8" i="30"/>
  <c r="S8" i="30"/>
  <c r="R8" i="30"/>
  <c r="Q8" i="30"/>
  <c r="P8" i="30"/>
  <c r="O8" i="30"/>
  <c r="T7" i="30"/>
  <c r="S7" i="30"/>
  <c r="R7" i="30"/>
  <c r="Q7" i="30"/>
  <c r="P7" i="30"/>
  <c r="O7" i="30"/>
  <c r="T6" i="30"/>
  <c r="S6" i="30"/>
  <c r="R6" i="30"/>
  <c r="Q6" i="30"/>
  <c r="P6" i="30"/>
  <c r="O6" i="30"/>
  <c r="N24" i="23"/>
  <c r="M24" i="23"/>
  <c r="N18" i="23"/>
  <c r="M18" i="23"/>
  <c r="N17" i="23"/>
  <c r="N21" i="23" s="1"/>
  <c r="M17" i="23"/>
  <c r="N16" i="23"/>
  <c r="M16" i="23"/>
  <c r="N15" i="23"/>
  <c r="N20" i="23" s="1"/>
  <c r="M15" i="23"/>
  <c r="N24" i="22"/>
  <c r="M24" i="22"/>
  <c r="N18" i="22"/>
  <c r="M18" i="22"/>
  <c r="N17" i="22"/>
  <c r="N21" i="22" s="1"/>
  <c r="M17" i="22"/>
  <c r="M21" i="22" s="1"/>
  <c r="N16" i="22"/>
  <c r="M16" i="22"/>
  <c r="N15" i="22"/>
  <c r="N20" i="22" s="1"/>
  <c r="M15" i="22"/>
  <c r="M20" i="22" s="1"/>
  <c r="N24" i="21"/>
  <c r="M24" i="21"/>
  <c r="N18" i="21"/>
  <c r="M18" i="21"/>
  <c r="N17" i="21"/>
  <c r="M17" i="21"/>
  <c r="N16" i="21"/>
  <c r="M16" i="21"/>
  <c r="N15" i="21"/>
  <c r="M15" i="21"/>
  <c r="N24" i="20"/>
  <c r="M24" i="20"/>
  <c r="N18" i="20"/>
  <c r="M18" i="20"/>
  <c r="N17" i="20"/>
  <c r="M17" i="20"/>
  <c r="N16" i="20"/>
  <c r="M16" i="20"/>
  <c r="N15" i="20"/>
  <c r="M15" i="20"/>
  <c r="M24" i="19"/>
  <c r="M18" i="19"/>
  <c r="M17" i="19"/>
  <c r="M21" i="19" s="1"/>
  <c r="M16" i="19"/>
  <c r="M15" i="19"/>
  <c r="M24" i="18"/>
  <c r="M18" i="18"/>
  <c r="M17" i="18"/>
  <c r="M21" i="18" s="1"/>
  <c r="M16" i="18"/>
  <c r="M15" i="18"/>
  <c r="M19" i="18" s="1"/>
  <c r="M24" i="17"/>
  <c r="M18" i="17"/>
  <c r="M17" i="17"/>
  <c r="M16" i="17"/>
  <c r="M15" i="17"/>
  <c r="M24" i="16"/>
  <c r="M18" i="16"/>
  <c r="M17" i="16"/>
  <c r="M21" i="16" s="1"/>
  <c r="M16" i="16"/>
  <c r="M15" i="16"/>
  <c r="M19" i="16" s="1"/>
  <c r="M20" i="23" l="1"/>
  <c r="M21" i="23"/>
  <c r="N20" i="21"/>
  <c r="N19" i="21"/>
  <c r="N21" i="21"/>
  <c r="M20" i="21"/>
  <c r="M21" i="21"/>
  <c r="M19" i="23"/>
  <c r="N19" i="23"/>
  <c r="M19" i="22"/>
  <c r="N19" i="22"/>
  <c r="M19" i="21"/>
  <c r="N20" i="20"/>
  <c r="N21" i="20"/>
  <c r="M21" i="20"/>
  <c r="M19" i="20"/>
  <c r="M20" i="20"/>
  <c r="N19" i="20"/>
  <c r="M20" i="19"/>
  <c r="M19" i="17"/>
  <c r="M21" i="17"/>
  <c r="M19" i="19"/>
  <c r="M20" i="18"/>
  <c r="M20" i="17"/>
  <c r="M20" i="16"/>
  <c r="N24" i="19" l="1"/>
  <c r="N18" i="19"/>
  <c r="N17" i="19"/>
  <c r="N16" i="19"/>
  <c r="N15" i="19"/>
  <c r="N24" i="18"/>
  <c r="N18" i="18"/>
  <c r="N17" i="18"/>
  <c r="N16" i="18"/>
  <c r="N15" i="18"/>
  <c r="N24" i="17"/>
  <c r="N18" i="17"/>
  <c r="N17" i="17"/>
  <c r="N16" i="17"/>
  <c r="N15" i="17"/>
  <c r="N24" i="16"/>
  <c r="N18" i="16"/>
  <c r="N17" i="16"/>
  <c r="N16" i="16"/>
  <c r="N15" i="16"/>
  <c r="N17" i="7"/>
  <c r="M24" i="7"/>
  <c r="M16" i="7"/>
  <c r="K16" i="7"/>
  <c r="N16" i="7"/>
  <c r="N24" i="7"/>
  <c r="N18" i="7"/>
  <c r="M15" i="7"/>
  <c r="N15" i="7"/>
  <c r="K15" i="7"/>
  <c r="L15" i="16"/>
  <c r="K48" i="23" a="1"/>
  <c r="K48" i="23" s="1"/>
  <c r="K47" i="23" a="1"/>
  <c r="K47" i="23" s="1"/>
  <c r="K46" i="23" a="1"/>
  <c r="K46" i="23" s="1"/>
  <c r="K45" i="23" a="1"/>
  <c r="K45" i="23" s="1"/>
  <c r="K48" i="22" a="1"/>
  <c r="K48" i="22" s="1"/>
  <c r="K47" i="22" a="1"/>
  <c r="K47" i="22" s="1"/>
  <c r="K46" i="22" a="1"/>
  <c r="K46" i="22" s="1"/>
  <c r="K45" i="22" a="1"/>
  <c r="K45" i="22" s="1"/>
  <c r="K48" i="21" a="1"/>
  <c r="K48" i="21" s="1"/>
  <c r="K47" i="21" a="1"/>
  <c r="K47" i="21" s="1"/>
  <c r="K46" i="21" a="1"/>
  <c r="K46" i="21" s="1"/>
  <c r="K45" i="21" a="1"/>
  <c r="K45" i="21" s="1"/>
  <c r="K48" i="20" a="1"/>
  <c r="K48" i="20" s="1"/>
  <c r="K47" i="20" a="1"/>
  <c r="K47" i="20" s="1"/>
  <c r="K46" i="20" a="1"/>
  <c r="K46" i="20" s="1"/>
  <c r="K45" i="20" a="1"/>
  <c r="K45" i="20" s="1"/>
  <c r="K48" i="19" a="1"/>
  <c r="K48" i="19" s="1"/>
  <c r="K47" i="19" a="1"/>
  <c r="K47" i="19" s="1"/>
  <c r="K46" i="19" a="1"/>
  <c r="K46" i="19" s="1"/>
  <c r="K45" i="19" a="1"/>
  <c r="K45" i="19" s="1"/>
  <c r="K48" i="18" a="1"/>
  <c r="K48" i="18" s="1"/>
  <c r="K47" i="18" a="1"/>
  <c r="K47" i="18" s="1"/>
  <c r="K46" i="18" a="1"/>
  <c r="K46" i="18" s="1"/>
  <c r="K45" i="18" a="1"/>
  <c r="K45" i="18" s="1"/>
  <c r="K48" i="17" a="1"/>
  <c r="K48" i="17" s="1"/>
  <c r="K47" i="17" a="1"/>
  <c r="K47" i="17" s="1"/>
  <c r="K46" i="17" a="1"/>
  <c r="K46" i="17" s="1"/>
  <c r="K45" i="17" a="1"/>
  <c r="K45" i="17" s="1"/>
  <c r="K48" i="16" a="1"/>
  <c r="K48" i="16" s="1"/>
  <c r="K47" i="16" a="1"/>
  <c r="K47" i="16" s="1"/>
  <c r="K46" i="16" a="1"/>
  <c r="K46" i="16" s="1"/>
  <c r="K45" i="16" a="1"/>
  <c r="K45" i="16" s="1"/>
  <c r="K48" i="7" a="1"/>
  <c r="K48" i="7" s="1"/>
  <c r="K47" i="7" a="1"/>
  <c r="K47" i="7" s="1"/>
  <c r="K46" i="7" a="1"/>
  <c r="K46" i="7" s="1"/>
  <c r="M17" i="7"/>
  <c r="M18" i="7"/>
  <c r="N19" i="16" l="1"/>
  <c r="N21" i="16"/>
  <c r="N20" i="19"/>
  <c r="N21" i="19"/>
  <c r="N19" i="19"/>
  <c r="N20" i="18"/>
  <c r="N21" i="18"/>
  <c r="N19" i="18"/>
  <c r="N20" i="17"/>
  <c r="N21" i="17"/>
  <c r="N19" i="17"/>
  <c r="N20" i="16"/>
  <c r="N20" i="7"/>
  <c r="N21" i="7"/>
  <c r="N19" i="7"/>
  <c r="M21" i="7"/>
  <c r="M19" i="7"/>
  <c r="M20" i="7"/>
  <c r="H10" i="33"/>
  <c r="H17" i="33"/>
  <c r="H16" i="33"/>
  <c r="H15" i="33"/>
  <c r="H14" i="33"/>
  <c r="H13" i="33"/>
  <c r="H12" i="33"/>
  <c r="H11" i="33"/>
  <c r="H9" i="33"/>
  <c r="L38" i="25"/>
  <c r="L39" i="25"/>
  <c r="L40" i="25"/>
  <c r="L41" i="25"/>
  <c r="L42" i="25"/>
  <c r="L43" i="25"/>
  <c r="L44" i="25"/>
  <c r="L45" i="25"/>
  <c r="L46" i="25"/>
  <c r="L47" i="25"/>
  <c r="L48" i="25"/>
  <c r="L49" i="25"/>
  <c r="L50" i="25"/>
  <c r="L51" i="25"/>
  <c r="L52" i="25"/>
  <c r="L53" i="25"/>
  <c r="O38" i="25"/>
  <c r="O39" i="25"/>
  <c r="O40" i="25"/>
  <c r="O41" i="25"/>
  <c r="O42" i="25"/>
  <c r="O43" i="25"/>
  <c r="O44" i="25"/>
  <c r="O45" i="25"/>
  <c r="O46" i="25"/>
  <c r="O47" i="25"/>
  <c r="O48" i="25"/>
  <c r="O49" i="25"/>
  <c r="O50" i="25"/>
  <c r="O51" i="25"/>
  <c r="O52" i="25"/>
  <c r="O53" i="25"/>
  <c r="O37" i="25"/>
  <c r="M37" i="25"/>
  <c r="N38" i="25"/>
  <c r="N39" i="25"/>
  <c r="N40" i="25"/>
  <c r="N41" i="25"/>
  <c r="N42" i="25"/>
  <c r="N43" i="25"/>
  <c r="N44" i="25"/>
  <c r="N45" i="25"/>
  <c r="N46" i="25"/>
  <c r="N47" i="25"/>
  <c r="N48" i="25"/>
  <c r="N49" i="25"/>
  <c r="N50" i="25"/>
  <c r="N51" i="25"/>
  <c r="N52" i="25"/>
  <c r="N53" i="25"/>
  <c r="N37" i="25"/>
  <c r="L37" i="25"/>
  <c r="M38" i="25"/>
  <c r="M39" i="25"/>
  <c r="M40" i="25"/>
  <c r="M41" i="25"/>
  <c r="M42" i="25"/>
  <c r="M43" i="25"/>
  <c r="M44" i="25"/>
  <c r="M45" i="25"/>
  <c r="M46" i="25"/>
  <c r="M47" i="25"/>
  <c r="M48" i="25"/>
  <c r="M49" i="25"/>
  <c r="M50" i="25"/>
  <c r="M51" i="25"/>
  <c r="M52" i="25"/>
  <c r="M53" i="25"/>
  <c r="L30" i="25"/>
  <c r="C13" i="32"/>
  <c r="D13" i="32"/>
  <c r="E13" i="32"/>
  <c r="F13" i="32"/>
  <c r="G13" i="32"/>
  <c r="H13" i="32"/>
  <c r="I13" i="32"/>
  <c r="J13" i="32"/>
  <c r="K13" i="32"/>
  <c r="C14" i="32"/>
  <c r="D14" i="32"/>
  <c r="E14" i="32"/>
  <c r="F14" i="32"/>
  <c r="G14" i="32"/>
  <c r="H14" i="32"/>
  <c r="I14" i="32"/>
  <c r="J14" i="32"/>
  <c r="K14" i="32"/>
  <c r="L13" i="32"/>
  <c r="M13" i="32"/>
  <c r="N13" i="32"/>
  <c r="O13" i="32"/>
  <c r="P13" i="32"/>
  <c r="Q13" i="32"/>
  <c r="R13" i="32"/>
  <c r="S13" i="32"/>
  <c r="T13" i="32"/>
  <c r="L14" i="32"/>
  <c r="M14" i="32"/>
  <c r="N14" i="32"/>
  <c r="O14" i="32"/>
  <c r="P14" i="32"/>
  <c r="Q14" i="32"/>
  <c r="R14" i="32"/>
  <c r="S14" i="32"/>
  <c r="T14" i="32"/>
  <c r="U13" i="32"/>
  <c r="V13" i="32"/>
  <c r="W13" i="32"/>
  <c r="X13" i="32"/>
  <c r="Y13" i="32"/>
  <c r="Z13" i="32"/>
  <c r="AA13" i="32"/>
  <c r="AB13" i="32"/>
  <c r="AC13" i="32"/>
  <c r="U14" i="32"/>
  <c r="V14" i="32"/>
  <c r="W14" i="32"/>
  <c r="X14" i="32"/>
  <c r="Y14" i="32"/>
  <c r="Z14" i="32"/>
  <c r="AA14" i="32"/>
  <c r="AB14" i="32"/>
  <c r="AC14" i="32"/>
  <c r="L13" i="30"/>
  <c r="M13" i="30"/>
  <c r="N13" i="30"/>
  <c r="L14" i="30"/>
  <c r="M14" i="30"/>
  <c r="N14" i="30"/>
  <c r="F13" i="30"/>
  <c r="G13" i="30"/>
  <c r="H13" i="30"/>
  <c r="F14" i="30"/>
  <c r="G14" i="30"/>
  <c r="H14" i="30"/>
  <c r="I13" i="30"/>
  <c r="J13" i="30"/>
  <c r="K13" i="30"/>
  <c r="I14" i="30"/>
  <c r="J14" i="30"/>
  <c r="K14" i="30"/>
  <c r="E14" i="30"/>
  <c r="D14" i="30"/>
  <c r="C14" i="30"/>
  <c r="E13" i="30"/>
  <c r="D13" i="30"/>
  <c r="C13" i="30"/>
  <c r="I13" i="29"/>
  <c r="J13" i="29"/>
  <c r="K13" i="29"/>
  <c r="I14" i="29"/>
  <c r="J14" i="29"/>
  <c r="K14" i="29"/>
  <c r="G13" i="29"/>
  <c r="G14" i="29"/>
  <c r="F13" i="29"/>
  <c r="F14" i="29"/>
  <c r="E13" i="29"/>
  <c r="E14" i="29"/>
  <c r="D13" i="29"/>
  <c r="D14" i="29"/>
  <c r="C13" i="29"/>
  <c r="C14" i="29"/>
  <c r="K16" i="16"/>
  <c r="D7" i="29" s="1"/>
  <c r="K15" i="16"/>
  <c r="D6" i="30" s="1"/>
  <c r="Q13" i="25"/>
  <c r="D6" i="32" l="1"/>
  <c r="D7" i="32"/>
  <c r="D7" i="30"/>
  <c r="D6" i="29"/>
  <c r="H19" i="33" a="1"/>
  <c r="H19" i="33" s="1"/>
  <c r="E14" i="6" s="1"/>
  <c r="Q36" i="25"/>
  <c r="E13" i="6" s="1"/>
  <c r="L13" i="25"/>
  <c r="L24" i="25"/>
  <c r="M24" i="25"/>
  <c r="N24" i="25"/>
  <c r="O24" i="25"/>
  <c r="P24" i="25"/>
  <c r="Q24" i="25"/>
  <c r="L25" i="25"/>
  <c r="M25" i="25"/>
  <c r="N25" i="25"/>
  <c r="O25" i="25"/>
  <c r="P25" i="25"/>
  <c r="Q25" i="25"/>
  <c r="L26" i="25"/>
  <c r="M26" i="25"/>
  <c r="N26" i="25"/>
  <c r="O26" i="25"/>
  <c r="P26" i="25"/>
  <c r="Q26" i="25"/>
  <c r="L27" i="25"/>
  <c r="M27" i="25"/>
  <c r="N27" i="25"/>
  <c r="O27" i="25"/>
  <c r="P27" i="25"/>
  <c r="Q27" i="25"/>
  <c r="L28" i="25"/>
  <c r="M28" i="25"/>
  <c r="N28" i="25"/>
  <c r="O28" i="25"/>
  <c r="P28" i="25"/>
  <c r="Q28" i="25"/>
  <c r="L29" i="25"/>
  <c r="M29" i="25"/>
  <c r="N29" i="25"/>
  <c r="O29" i="25"/>
  <c r="P29" i="25"/>
  <c r="Q29" i="25"/>
  <c r="M30" i="25"/>
  <c r="N30" i="25"/>
  <c r="O30" i="25"/>
  <c r="P30" i="25"/>
  <c r="Q30" i="25"/>
  <c r="L22" i="25"/>
  <c r="M22" i="25"/>
  <c r="N22" i="25"/>
  <c r="O22" i="25"/>
  <c r="P22" i="25"/>
  <c r="Q22" i="25"/>
  <c r="L23" i="25"/>
  <c r="M23" i="25"/>
  <c r="N23" i="25"/>
  <c r="O23" i="25"/>
  <c r="P23" i="25"/>
  <c r="Q23" i="25"/>
  <c r="E56" i="6"/>
  <c r="K45" i="7" a="1"/>
  <c r="K45" i="7" s="1"/>
  <c r="M13" i="25"/>
  <c r="N13" i="25"/>
  <c r="O13" i="25"/>
  <c r="P13" i="25"/>
  <c r="M14" i="25"/>
  <c r="N14" i="25"/>
  <c r="O14" i="25"/>
  <c r="P14" i="25"/>
  <c r="Q14" i="25"/>
  <c r="M15" i="25"/>
  <c r="N15" i="25"/>
  <c r="O15" i="25"/>
  <c r="P15" i="25"/>
  <c r="Q15" i="25"/>
  <c r="M16" i="25"/>
  <c r="N16" i="25"/>
  <c r="O16" i="25"/>
  <c r="P16" i="25"/>
  <c r="Q16" i="25"/>
  <c r="M17" i="25"/>
  <c r="N17" i="25"/>
  <c r="O17" i="25"/>
  <c r="P17" i="25"/>
  <c r="Q17" i="25"/>
  <c r="M18" i="25"/>
  <c r="N18" i="25"/>
  <c r="O18" i="25"/>
  <c r="P18" i="25"/>
  <c r="Q18" i="25"/>
  <c r="M19" i="25"/>
  <c r="N19" i="25"/>
  <c r="O19" i="25"/>
  <c r="P19" i="25"/>
  <c r="Q19" i="25"/>
  <c r="M20" i="25"/>
  <c r="N20" i="25"/>
  <c r="O20" i="25"/>
  <c r="P20" i="25"/>
  <c r="Q20" i="25"/>
  <c r="M21" i="25"/>
  <c r="N21" i="25"/>
  <c r="O21" i="25"/>
  <c r="P21" i="25"/>
  <c r="Q21" i="25"/>
  <c r="L14" i="25"/>
  <c r="L15" i="25"/>
  <c r="L16" i="25"/>
  <c r="L17" i="25"/>
  <c r="L18" i="25"/>
  <c r="L19" i="25"/>
  <c r="L20" i="25"/>
  <c r="L21" i="25"/>
  <c r="F37" i="6"/>
  <c r="F36" i="6"/>
  <c r="F35" i="6"/>
  <c r="F34" i="6"/>
  <c r="F33" i="6"/>
  <c r="F32" i="6"/>
  <c r="F30" i="6"/>
  <c r="F31" i="6"/>
  <c r="F29" i="6"/>
  <c r="E30" i="6"/>
  <c r="E31" i="6"/>
  <c r="E32" i="6"/>
  <c r="E33" i="6"/>
  <c r="E34" i="6"/>
  <c r="E35" i="6"/>
  <c r="E36" i="6"/>
  <c r="E37" i="6"/>
  <c r="E29" i="6"/>
  <c r="L18" i="7"/>
  <c r="L9" i="32" l="1"/>
  <c r="F9" i="29"/>
  <c r="I9" i="30"/>
  <c r="C6" i="32"/>
  <c r="C6" i="29"/>
  <c r="C6" i="30"/>
  <c r="N33" i="25"/>
  <c r="Q33" i="25"/>
  <c r="P33" i="25"/>
  <c r="E16" i="6" a="1"/>
  <c r="E16" i="6" s="1"/>
  <c r="M33" i="25"/>
  <c r="L33" i="25"/>
  <c r="O33" i="25"/>
  <c r="AC15" i="32"/>
  <c r="L24" i="23"/>
  <c r="T15" i="32" s="1"/>
  <c r="K24" i="23"/>
  <c r="K15" i="32" s="1"/>
  <c r="AC9" i="32"/>
  <c r="L18" i="23"/>
  <c r="T9" i="32" s="1"/>
  <c r="K18" i="23"/>
  <c r="K9" i="32" s="1"/>
  <c r="AC8" i="32"/>
  <c r="L17" i="23"/>
  <c r="T8" i="32" s="1"/>
  <c r="K17" i="23"/>
  <c r="K8" i="32" s="1"/>
  <c r="L16" i="23"/>
  <c r="T7" i="32" s="1"/>
  <c r="K16" i="23"/>
  <c r="K7" i="32" s="1"/>
  <c r="AC6" i="32"/>
  <c r="L15" i="23"/>
  <c r="T6" i="32" s="1"/>
  <c r="K15" i="23"/>
  <c r="K6" i="32" s="1"/>
  <c r="AB15" i="32"/>
  <c r="L24" i="22"/>
  <c r="S15" i="32" s="1"/>
  <c r="K24" i="22"/>
  <c r="J15" i="32" s="1"/>
  <c r="AB9" i="32"/>
  <c r="L18" i="22"/>
  <c r="S9" i="32" s="1"/>
  <c r="K18" i="22"/>
  <c r="J9" i="32" s="1"/>
  <c r="AB8" i="32"/>
  <c r="L17" i="22"/>
  <c r="S8" i="32" s="1"/>
  <c r="K17" i="22"/>
  <c r="J8" i="32" s="1"/>
  <c r="AB7" i="32"/>
  <c r="L16" i="22"/>
  <c r="K16" i="22"/>
  <c r="J7" i="32" s="1"/>
  <c r="AB6" i="32"/>
  <c r="L15" i="22"/>
  <c r="S6" i="32" s="1"/>
  <c r="K15" i="22"/>
  <c r="J6" i="32" s="1"/>
  <c r="AA15" i="32"/>
  <c r="L24" i="21"/>
  <c r="R15" i="32" s="1"/>
  <c r="K24" i="21"/>
  <c r="I15" i="32" s="1"/>
  <c r="AA9" i="32"/>
  <c r="L18" i="21"/>
  <c r="R9" i="32" s="1"/>
  <c r="K18" i="21"/>
  <c r="I9" i="32" s="1"/>
  <c r="AA8" i="32"/>
  <c r="L17" i="21"/>
  <c r="R8" i="32" s="1"/>
  <c r="K17" i="21"/>
  <c r="I8" i="32" s="1"/>
  <c r="AA7" i="32"/>
  <c r="L16" i="21"/>
  <c r="R7" i="32" s="1"/>
  <c r="K16" i="21"/>
  <c r="I7" i="32" s="1"/>
  <c r="AA6" i="32"/>
  <c r="L15" i="21"/>
  <c r="R6" i="32" s="1"/>
  <c r="K15" i="21"/>
  <c r="I6" i="32" s="1"/>
  <c r="Z15" i="32"/>
  <c r="L24" i="20"/>
  <c r="K24" i="20"/>
  <c r="Z9" i="32"/>
  <c r="L18" i="20"/>
  <c r="K18" i="20"/>
  <c r="Z8" i="32"/>
  <c r="L17" i="20"/>
  <c r="K17" i="20"/>
  <c r="Z7" i="32"/>
  <c r="L16" i="20"/>
  <c r="K16" i="20"/>
  <c r="Z6" i="32"/>
  <c r="L15" i="20"/>
  <c r="K15" i="20"/>
  <c r="Y15" i="32"/>
  <c r="L24" i="19"/>
  <c r="K24" i="19"/>
  <c r="Y9" i="32"/>
  <c r="L18" i="19"/>
  <c r="K18" i="19"/>
  <c r="Y8" i="32"/>
  <c r="L17" i="19"/>
  <c r="K17" i="19"/>
  <c r="Y7" i="32"/>
  <c r="L16" i="19"/>
  <c r="K16" i="19"/>
  <c r="Y6" i="32"/>
  <c r="L15" i="19"/>
  <c r="K15" i="19"/>
  <c r="X15" i="32"/>
  <c r="L24" i="18"/>
  <c r="K24" i="18"/>
  <c r="X9" i="32"/>
  <c r="L18" i="18"/>
  <c r="K18" i="18"/>
  <c r="X8" i="32"/>
  <c r="L17" i="18"/>
  <c r="K17" i="18"/>
  <c r="X7" i="32"/>
  <c r="L16" i="18"/>
  <c r="K16" i="18"/>
  <c r="X6" i="32"/>
  <c r="L15" i="18"/>
  <c r="K15" i="18"/>
  <c r="L24" i="17"/>
  <c r="K24" i="17"/>
  <c r="L18" i="17"/>
  <c r="K18" i="17"/>
  <c r="L17" i="17"/>
  <c r="K17" i="17"/>
  <c r="L16" i="17"/>
  <c r="K16" i="17"/>
  <c r="L15" i="17"/>
  <c r="K15" i="17"/>
  <c r="L24" i="16"/>
  <c r="K24" i="16"/>
  <c r="L18" i="16"/>
  <c r="K18" i="16"/>
  <c r="L17" i="16"/>
  <c r="K17" i="16"/>
  <c r="L16" i="16"/>
  <c r="L24" i="7"/>
  <c r="K24" i="7"/>
  <c r="K18" i="7"/>
  <c r="L17" i="7"/>
  <c r="K17" i="7"/>
  <c r="L16" i="7"/>
  <c r="L15" i="7"/>
  <c r="D45" i="6" l="1"/>
  <c r="AC11" i="32"/>
  <c r="AC7" i="32"/>
  <c r="L20" i="22"/>
  <c r="S11" i="32" s="1"/>
  <c r="S7" i="32"/>
  <c r="N7" i="30"/>
  <c r="Q7" i="32"/>
  <c r="H15" i="32"/>
  <c r="H15" i="30"/>
  <c r="N6" i="30"/>
  <c r="Q6" i="32"/>
  <c r="H9" i="30"/>
  <c r="H9" i="32"/>
  <c r="Q15" i="32"/>
  <c r="N15" i="30"/>
  <c r="H8" i="30"/>
  <c r="H8" i="32"/>
  <c r="N9" i="30"/>
  <c r="Q9" i="32"/>
  <c r="H6" i="30"/>
  <c r="H6" i="32"/>
  <c r="H7" i="32"/>
  <c r="H7" i="30"/>
  <c r="N8" i="30"/>
  <c r="Q8" i="32"/>
  <c r="M8" i="30"/>
  <c r="P8" i="32"/>
  <c r="G6" i="30"/>
  <c r="G6" i="32"/>
  <c r="L20" i="19"/>
  <c r="P7" i="32"/>
  <c r="M7" i="30"/>
  <c r="G15" i="32"/>
  <c r="G15" i="30"/>
  <c r="M6" i="30"/>
  <c r="P6" i="32"/>
  <c r="G9" i="32"/>
  <c r="G9" i="30"/>
  <c r="P15" i="32"/>
  <c r="M15" i="30"/>
  <c r="G7" i="30"/>
  <c r="G7" i="32"/>
  <c r="G8" i="32"/>
  <c r="G8" i="30"/>
  <c r="P9" i="32"/>
  <c r="M9" i="30"/>
  <c r="F8" i="30"/>
  <c r="F8" i="32"/>
  <c r="O9" i="32"/>
  <c r="L9" i="30"/>
  <c r="F7" i="32"/>
  <c r="F7" i="30"/>
  <c r="L8" i="30"/>
  <c r="O8" i="32"/>
  <c r="F6" i="32"/>
  <c r="F6" i="30"/>
  <c r="O7" i="32"/>
  <c r="L7" i="30"/>
  <c r="F15" i="32"/>
  <c r="F15" i="30"/>
  <c r="L6" i="30"/>
  <c r="O6" i="32"/>
  <c r="F9" i="32"/>
  <c r="F9" i="30"/>
  <c r="O15" i="32"/>
  <c r="L15" i="30"/>
  <c r="W7" i="32"/>
  <c r="K7" i="29"/>
  <c r="K15" i="30"/>
  <c r="N15" i="32"/>
  <c r="K6" i="29"/>
  <c r="W6" i="32"/>
  <c r="E8" i="32"/>
  <c r="E8" i="30"/>
  <c r="E8" i="29"/>
  <c r="N9" i="32"/>
  <c r="K9" i="30"/>
  <c r="W15" i="32"/>
  <c r="K15" i="29"/>
  <c r="E7" i="30"/>
  <c r="E7" i="29"/>
  <c r="E7" i="32"/>
  <c r="N8" i="32"/>
  <c r="K8" i="30"/>
  <c r="W9" i="32"/>
  <c r="K9" i="29"/>
  <c r="N6" i="32"/>
  <c r="K6" i="30"/>
  <c r="E9" i="32"/>
  <c r="E9" i="30"/>
  <c r="E9" i="29"/>
  <c r="E6" i="30"/>
  <c r="E6" i="32"/>
  <c r="E6" i="29"/>
  <c r="K7" i="30"/>
  <c r="N7" i="32"/>
  <c r="W8" i="32"/>
  <c r="K8" i="29"/>
  <c r="E15" i="32"/>
  <c r="E15" i="30"/>
  <c r="E15" i="29"/>
  <c r="J7" i="30"/>
  <c r="G7" i="29"/>
  <c r="M7" i="32"/>
  <c r="V8" i="32"/>
  <c r="J8" i="29"/>
  <c r="D15" i="30"/>
  <c r="D15" i="32"/>
  <c r="D15" i="29"/>
  <c r="V7" i="32"/>
  <c r="J7" i="29"/>
  <c r="D9" i="32"/>
  <c r="D9" i="30"/>
  <c r="D9" i="29"/>
  <c r="M15" i="32"/>
  <c r="J15" i="30"/>
  <c r="G15" i="29"/>
  <c r="M6" i="32"/>
  <c r="J6" i="30"/>
  <c r="G6" i="29"/>
  <c r="D8" i="30"/>
  <c r="D8" i="29"/>
  <c r="D8" i="32"/>
  <c r="J9" i="30"/>
  <c r="M9" i="32"/>
  <c r="G9" i="29"/>
  <c r="V15" i="32"/>
  <c r="J15" i="29"/>
  <c r="V6" i="32"/>
  <c r="J6" i="29"/>
  <c r="M8" i="32"/>
  <c r="J8" i="30"/>
  <c r="G8" i="29"/>
  <c r="V9" i="32"/>
  <c r="J9" i="29"/>
  <c r="L8" i="32"/>
  <c r="I8" i="30"/>
  <c r="F8" i="29"/>
  <c r="I15" i="30"/>
  <c r="F15" i="29"/>
  <c r="L15" i="32"/>
  <c r="I15" i="29"/>
  <c r="U15" i="32"/>
  <c r="C7" i="32"/>
  <c r="C7" i="30"/>
  <c r="C7" i="29"/>
  <c r="I7" i="30"/>
  <c r="F7" i="29"/>
  <c r="L7" i="32"/>
  <c r="U8" i="32"/>
  <c r="I8" i="29"/>
  <c r="L6" i="32"/>
  <c r="I6" i="30"/>
  <c r="F6" i="29"/>
  <c r="I7" i="29"/>
  <c r="U7" i="32"/>
  <c r="C9" i="30"/>
  <c r="C9" i="29"/>
  <c r="C9" i="32"/>
  <c r="U6" i="32"/>
  <c r="I6" i="29"/>
  <c r="C8" i="32"/>
  <c r="C8" i="29"/>
  <c r="C8" i="30"/>
  <c r="I9" i="29"/>
  <c r="U9" i="32"/>
  <c r="C15" i="30"/>
  <c r="C15" i="32"/>
  <c r="C15" i="29"/>
  <c r="K20" i="19"/>
  <c r="Y12" i="32"/>
  <c r="L19" i="20"/>
  <c r="L21" i="22"/>
  <c r="S12" i="32" s="1"/>
  <c r="K20" i="23"/>
  <c r="K11" i="32" s="1"/>
  <c r="L20" i="23"/>
  <c r="T11" i="32" s="1"/>
  <c r="AC12" i="32"/>
  <c r="AA10" i="32"/>
  <c r="K21" i="21"/>
  <c r="I12" i="32" s="1"/>
  <c r="L20" i="21"/>
  <c r="R11" i="32" s="1"/>
  <c r="L21" i="18"/>
  <c r="X11" i="32"/>
  <c r="K21" i="17"/>
  <c r="L20" i="17"/>
  <c r="L19" i="16"/>
  <c r="L21" i="16"/>
  <c r="K20" i="16"/>
  <c r="L19" i="23"/>
  <c r="T10" i="32" s="1"/>
  <c r="AC10" i="32"/>
  <c r="K21" i="23"/>
  <c r="K12" i="32" s="1"/>
  <c r="L21" i="23"/>
  <c r="T12" i="32" s="1"/>
  <c r="K20" i="22"/>
  <c r="J11" i="32" s="1"/>
  <c r="AB12" i="32"/>
  <c r="L19" i="22"/>
  <c r="S10" i="32" s="1"/>
  <c r="AB10" i="32"/>
  <c r="K21" i="22"/>
  <c r="J12" i="32" s="1"/>
  <c r="L21" i="21"/>
  <c r="R12" i="32" s="1"/>
  <c r="K20" i="21"/>
  <c r="I11" i="32" s="1"/>
  <c r="AA12" i="32"/>
  <c r="L19" i="21"/>
  <c r="R10" i="32" s="1"/>
  <c r="Z10" i="32"/>
  <c r="K21" i="20"/>
  <c r="L21" i="20"/>
  <c r="K20" i="20"/>
  <c r="L20" i="20"/>
  <c r="Z12" i="32"/>
  <c r="L19" i="19"/>
  <c r="Y10" i="32"/>
  <c r="K21" i="19"/>
  <c r="L21" i="19"/>
  <c r="K20" i="18"/>
  <c r="X12" i="32"/>
  <c r="L19" i="18"/>
  <c r="X10" i="32"/>
  <c r="K21" i="18"/>
  <c r="L21" i="17"/>
  <c r="K20" i="17"/>
  <c r="L19" i="17"/>
  <c r="K21" i="16"/>
  <c r="L20" i="16"/>
  <c r="K19" i="23"/>
  <c r="K10" i="32" s="1"/>
  <c r="K19" i="22"/>
  <c r="J10" i="32" s="1"/>
  <c r="AB11" i="32"/>
  <c r="AA11" i="32"/>
  <c r="K19" i="21"/>
  <c r="I10" i="32" s="1"/>
  <c r="Z11" i="32"/>
  <c r="K19" i="20"/>
  <c r="Y11" i="32"/>
  <c r="K19" i="19"/>
  <c r="K19" i="18"/>
  <c r="L20" i="18"/>
  <c r="K19" i="17"/>
  <c r="K19" i="16"/>
  <c r="L19" i="7"/>
  <c r="K21" i="7"/>
  <c r="L21" i="7"/>
  <c r="K20" i="7"/>
  <c r="K19" i="7"/>
  <c r="L20" i="7"/>
  <c r="E19" i="6"/>
  <c r="H11" i="32" l="1"/>
  <c r="H11" i="30"/>
  <c r="H10" i="30"/>
  <c r="H10" i="32"/>
  <c r="Q12" i="32"/>
  <c r="N12" i="30"/>
  <c r="N11" i="30"/>
  <c r="Q11" i="32"/>
  <c r="N10" i="30"/>
  <c r="Q10" i="32"/>
  <c r="H12" i="30"/>
  <c r="H12" i="32"/>
  <c r="G12" i="32"/>
  <c r="G12" i="30"/>
  <c r="G10" i="32"/>
  <c r="G10" i="30"/>
  <c r="M12" i="30"/>
  <c r="P12" i="32"/>
  <c r="G11" i="30"/>
  <c r="G11" i="32"/>
  <c r="P10" i="32"/>
  <c r="M10" i="30"/>
  <c r="M11" i="30"/>
  <c r="P11" i="32"/>
  <c r="F11" i="30"/>
  <c r="F11" i="32"/>
  <c r="O11" i="32"/>
  <c r="L11" i="30"/>
  <c r="F10" i="32"/>
  <c r="F10" i="30"/>
  <c r="L10" i="30"/>
  <c r="O10" i="32"/>
  <c r="F12" i="30"/>
  <c r="F12" i="32"/>
  <c r="L12" i="30"/>
  <c r="O12" i="32"/>
  <c r="E10" i="30"/>
  <c r="E10" i="29"/>
  <c r="E10" i="32"/>
  <c r="K11" i="30"/>
  <c r="N11" i="32"/>
  <c r="W12" i="32"/>
  <c r="K12" i="29"/>
  <c r="E11" i="32"/>
  <c r="E11" i="30"/>
  <c r="E11" i="29"/>
  <c r="K10" i="29"/>
  <c r="W10" i="32"/>
  <c r="N10" i="32"/>
  <c r="K10" i="30"/>
  <c r="E12" i="32"/>
  <c r="E12" i="30"/>
  <c r="E12" i="29"/>
  <c r="W11" i="32"/>
  <c r="K11" i="29"/>
  <c r="N12" i="32"/>
  <c r="K12" i="30"/>
  <c r="D10" i="30"/>
  <c r="D10" i="29"/>
  <c r="D10" i="32"/>
  <c r="G10" i="29"/>
  <c r="M10" i="32"/>
  <c r="J10" i="30"/>
  <c r="J11" i="30"/>
  <c r="G11" i="29"/>
  <c r="M11" i="32"/>
  <c r="V12" i="32"/>
  <c r="J12" i="29"/>
  <c r="D12" i="32"/>
  <c r="D12" i="30"/>
  <c r="D12" i="29"/>
  <c r="D11" i="29"/>
  <c r="D11" i="30"/>
  <c r="D11" i="32"/>
  <c r="V11" i="32"/>
  <c r="J11" i="29"/>
  <c r="V10" i="32"/>
  <c r="J10" i="29"/>
  <c r="G12" i="29"/>
  <c r="M12" i="32"/>
  <c r="J12" i="30"/>
  <c r="I11" i="30"/>
  <c r="F11" i="29"/>
  <c r="L11" i="32"/>
  <c r="C12" i="32"/>
  <c r="C12" i="30"/>
  <c r="C12" i="29"/>
  <c r="U12" i="32"/>
  <c r="I12" i="29"/>
  <c r="U10" i="32"/>
  <c r="I10" i="29"/>
  <c r="L12" i="32"/>
  <c r="F12" i="29"/>
  <c r="I12" i="30"/>
  <c r="C10" i="32"/>
  <c r="C10" i="30"/>
  <c r="C10" i="29"/>
  <c r="I11" i="29"/>
  <c r="U11" i="32"/>
  <c r="C11" i="29"/>
  <c r="C11" i="32"/>
  <c r="C11" i="30"/>
  <c r="L10" i="32"/>
  <c r="I10" i="30"/>
  <c r="F10" i="2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<sst xmlns="http://schemas.openxmlformats.org/spreadsheetml/2006/main" count="3185" uniqueCount="256">
  <si>
    <t>Date of Birth</t>
  </si>
  <si>
    <t>Ethnicity</t>
  </si>
  <si>
    <t>Category</t>
  </si>
  <si>
    <t>Emotional</t>
  </si>
  <si>
    <t>Conduct</t>
  </si>
  <si>
    <t>Peer</t>
  </si>
  <si>
    <t>Catergory</t>
  </si>
  <si>
    <t>Statement</t>
  </si>
  <si>
    <t>Not True</t>
  </si>
  <si>
    <t>Sometimes</t>
  </si>
  <si>
    <t>Score</t>
  </si>
  <si>
    <r>
      <t xml:space="preserve">0 or </t>
    </r>
    <r>
      <rPr>
        <b/>
        <sz val="11"/>
        <color rgb="FFFF0000"/>
        <rFont val="Calibri"/>
        <family val="2"/>
        <scheme val="minor"/>
      </rPr>
      <t>2</t>
    </r>
  </si>
  <si>
    <r>
      <t xml:space="preserve">2 or </t>
    </r>
    <r>
      <rPr>
        <b/>
        <sz val="11"/>
        <color rgb="FFFF0000"/>
        <rFont val="Calibri"/>
        <family val="2"/>
        <scheme val="minor"/>
      </rPr>
      <t>0</t>
    </r>
  </si>
  <si>
    <t>Pro Social</t>
  </si>
  <si>
    <t>1. Considerate of other people’s feelings</t>
  </si>
  <si>
    <t>HyperActivity</t>
  </si>
  <si>
    <t>2. Restless, overactive, cannot stay still for long</t>
  </si>
  <si>
    <t>Scores</t>
  </si>
  <si>
    <t>3. Often complains of headaches, stomach-aches or sickness</t>
  </si>
  <si>
    <t>School Score</t>
  </si>
  <si>
    <t>Self Score</t>
  </si>
  <si>
    <t>Comparison - taken from parent scores only</t>
  </si>
  <si>
    <t>4. Shares readily with other children (treats, toys, pencils etc)</t>
  </si>
  <si>
    <t>0-3</t>
  </si>
  <si>
    <t>5-6</t>
  </si>
  <si>
    <t>7-10</t>
  </si>
  <si>
    <t>5. Often has temper tantrums or hot tempers</t>
  </si>
  <si>
    <t>0-2</t>
  </si>
  <si>
    <t>3</t>
  </si>
  <si>
    <t>4</t>
  </si>
  <si>
    <t>5-10</t>
  </si>
  <si>
    <t>6. Rather solitary, tends to play alone</t>
  </si>
  <si>
    <t>4-5</t>
  </si>
  <si>
    <t>6-10</t>
  </si>
  <si>
    <t>7. Generally obedient, usually does what adults request</t>
  </si>
  <si>
    <t>0-5</t>
  </si>
  <si>
    <t>6-7</t>
  </si>
  <si>
    <t>8</t>
  </si>
  <si>
    <t>9-10</t>
  </si>
  <si>
    <t>8. Many worries, often seems worried</t>
  </si>
  <si>
    <t>Total Difficulties</t>
  </si>
  <si>
    <t>0-13</t>
  </si>
  <si>
    <t>14-16</t>
  </si>
  <si>
    <t>17-19</t>
  </si>
  <si>
    <t>20-40</t>
  </si>
  <si>
    <t>9. Helpful if someone is hurt, upset or feeling ill</t>
  </si>
  <si>
    <t>SubTotal Internalising</t>
  </si>
  <si>
    <t>4-7</t>
  </si>
  <si>
    <t>8-10</t>
  </si>
  <si>
    <t>11-20</t>
  </si>
  <si>
    <t>10. Constantly fidgeting or squirming</t>
  </si>
  <si>
    <t>Sub Total Externalising</t>
  </si>
  <si>
    <t>0-7</t>
  </si>
  <si>
    <t>11-13</t>
  </si>
  <si>
    <t>14-20</t>
  </si>
  <si>
    <t>11. Has at least one good friend</t>
  </si>
  <si>
    <t>Impact</t>
  </si>
  <si>
    <t>12. Often fights with other children or bullies them</t>
  </si>
  <si>
    <t>13. Often unhappy, down-hearted or  tearful</t>
  </si>
  <si>
    <t>7</t>
  </si>
  <si>
    <t>6</t>
  </si>
  <si>
    <t>14. Generally liked by other children</t>
  </si>
  <si>
    <t>15. Easily distracted, concentration wanders</t>
  </si>
  <si>
    <t>16. Nervous or clingy in new situations, easily loses confidence</t>
  </si>
  <si>
    <t>17. Kind to younger children</t>
  </si>
  <si>
    <t>18. Often lies or cheats</t>
  </si>
  <si>
    <t>19. Picked on or bullied by other children</t>
  </si>
  <si>
    <t>20. Often volunteers to help others (parents, teachers, other children)</t>
  </si>
  <si>
    <t>21. Thinks things out before acting</t>
  </si>
  <si>
    <t>22. Steals from home, school or elsewhere</t>
  </si>
  <si>
    <t>23. Gets on better with adults than with other children</t>
  </si>
  <si>
    <t>24. Many fears, easily scared</t>
  </si>
  <si>
    <t>25. Sees tasks through to the end, good attention span</t>
  </si>
  <si>
    <t>School Completed SDQ</t>
  </si>
  <si>
    <t>Self Completed SDQ</t>
  </si>
  <si>
    <t>Period 1</t>
  </si>
  <si>
    <t>Period 2</t>
  </si>
  <si>
    <t>Period 3</t>
  </si>
  <si>
    <t>Data Input</t>
  </si>
  <si>
    <t>Period 4</t>
  </si>
  <si>
    <t>Period 5</t>
  </si>
  <si>
    <t>Period 6</t>
  </si>
  <si>
    <t>Period 7</t>
  </si>
  <si>
    <t>Period 8</t>
  </si>
  <si>
    <t>Period 9</t>
  </si>
  <si>
    <t>Date</t>
  </si>
  <si>
    <t>Gender/Sex</t>
  </si>
  <si>
    <t>Disability Status</t>
  </si>
  <si>
    <t>Disability Type</t>
  </si>
  <si>
    <t>Demographics</t>
  </si>
  <si>
    <t>Intervention Type</t>
  </si>
  <si>
    <t>Pre-Populated Data</t>
  </si>
  <si>
    <t>Appropriate Signatory</t>
  </si>
  <si>
    <t>ACES</t>
  </si>
  <si>
    <t>Input data as follows:</t>
  </si>
  <si>
    <t>Data input sheets</t>
  </si>
  <si>
    <t>Requires input</t>
  </si>
  <si>
    <t>Required selection of drop-down criteria</t>
  </si>
  <si>
    <t>Instructions for data collection set up:</t>
  </si>
  <si>
    <t>Input from Treatment Plan</t>
  </si>
  <si>
    <t>To protect the integrity of the data the cells are colour co-ordinated:</t>
  </si>
  <si>
    <t>Data to be populated from  the following information sources:</t>
  </si>
  <si>
    <t>Client Code</t>
  </si>
  <si>
    <t>Funding source</t>
  </si>
  <si>
    <t>Specify Date</t>
  </si>
  <si>
    <t>Care Experience</t>
  </si>
  <si>
    <t>English as an Additional Language</t>
  </si>
  <si>
    <t>Criteria met for research database</t>
  </si>
  <si>
    <t>SDQ's</t>
  </si>
  <si>
    <t>Goal Based Outcomes</t>
  </si>
  <si>
    <t>Include SDQ's from school, parent/carer, self as required for 3 data collection periods</t>
  </si>
  <si>
    <t>GBO's</t>
  </si>
  <si>
    <t>Complete data set (i.e. must contain three consecutive GBO scores and  SDQ's)</t>
  </si>
  <si>
    <t>Requires selection of drop-down criteria</t>
  </si>
  <si>
    <t>Demographics from treatment plan and intake meeting</t>
  </si>
  <si>
    <t>Data Points Being Used</t>
  </si>
  <si>
    <t>Data Verification - Input Required</t>
  </si>
  <si>
    <t>Goal Based Outcome - Completed by School</t>
  </si>
  <si>
    <t>Specify Period</t>
  </si>
  <si>
    <t>Data checked (Reviewer)</t>
  </si>
  <si>
    <t>Evidence data input and review (ensuring all data has been entered for correct periods - GBO's &amp; SDQ's)</t>
  </si>
  <si>
    <t>Goal based outcomes - by completed form.  May have 1 parent, 2 parents, school or older young person.  Does not have to be all.</t>
  </si>
  <si>
    <t>SDQ forms  by school, parent/carer, self.  Does not have to be all.</t>
  </si>
  <si>
    <t>Specify period: add date form was completed</t>
  </si>
  <si>
    <t>Input : initials of parent to ensure consistency of reporting (data not used elsewhere)</t>
  </si>
  <si>
    <t xml:space="preserve">Instructions for completion: </t>
  </si>
  <si>
    <t>Instructions:</t>
  </si>
  <si>
    <t>Save using client code as the file name</t>
  </si>
  <si>
    <t>Inputs: client code, GDPR consent, specify data points of data being collected, check sequentially entered</t>
  </si>
  <si>
    <t>Input from Goal Based Outcome forms (enter as many as received i.e. Parent/Carer 1, Parent Carer 2, School, Self)</t>
  </si>
  <si>
    <t>Goal Based Outcome - Completed by Self</t>
  </si>
  <si>
    <t>Goal Based Outcome - Completed by Parent/Carer 1</t>
  </si>
  <si>
    <t>Initials of Parent/Carer for consistency</t>
  </si>
  <si>
    <t>GBO's can be completed by any or all of the following: Parent/Carer 1, Parent/Carer 2, School, Self</t>
  </si>
  <si>
    <t>Goal Based Outcome - Completed by Parent/Carer 2</t>
  </si>
  <si>
    <t>Cells are calculated automatically and cannot be selected</t>
  </si>
  <si>
    <t>Data Input Checks:</t>
  </si>
  <si>
    <t xml:space="preserve">Demographic information </t>
  </si>
  <si>
    <t>All Input Cells Completed</t>
  </si>
  <si>
    <t>Therapist Happy to Proceed</t>
  </si>
  <si>
    <t>Goal based outcomes</t>
  </si>
  <si>
    <t>SDQ 1</t>
  </si>
  <si>
    <t>SDQ 2</t>
  </si>
  <si>
    <t>SDQ 3</t>
  </si>
  <si>
    <t>SDQ 4</t>
  </si>
  <si>
    <t>SDQ 5</t>
  </si>
  <si>
    <t>SDQ 6</t>
  </si>
  <si>
    <t>SDQ 7</t>
  </si>
  <si>
    <t>SDQ 8</t>
  </si>
  <si>
    <t>SDQ 9</t>
  </si>
  <si>
    <t>All data input checks have been cleared</t>
  </si>
  <si>
    <t>Rationale for Incomplete Data to be Included e.g. data set not yet completed</t>
  </si>
  <si>
    <t>GDPR consent form to include annonymised information in research received</t>
  </si>
  <si>
    <t>Missed data explanation agreed (Reviewer)</t>
  </si>
  <si>
    <t>Purpose: therapist and reviewer to review checks, amend errors/omissions if necessary</t>
  </si>
  <si>
    <t xml:space="preserve">Output: determine if file can be included in research  </t>
  </si>
  <si>
    <t>Data Verification Checks:</t>
  </si>
  <si>
    <t>Data Verification &amp; Input Checks:</t>
  </si>
  <si>
    <t>If any of the therapist answers are "no" then this will default to "no" and information will not be deemed complete for research purposes</t>
  </si>
  <si>
    <t>Data Checks:</t>
  </si>
  <si>
    <t>School</t>
  </si>
  <si>
    <t>Self</t>
  </si>
  <si>
    <t>Check: Every Question Answered &amp; No Duplicate Answers</t>
  </si>
  <si>
    <t>Input: SDQ scores from Parent/Carer, School or Self Forms</t>
  </si>
  <si>
    <t>Input and calculate: Impact Score</t>
  </si>
  <si>
    <t>Check data: input table for errors/omissions and amend data as necessary</t>
  </si>
  <si>
    <t>(note will be blank if no data entered on a particular SDQ)</t>
  </si>
  <si>
    <t>Signature</t>
  </si>
  <si>
    <t>Check data is complete and accurate by reviewing the answers in the data check boxes.  Correct any errors or comment on the audit page.</t>
  </si>
  <si>
    <t>Review the Audit tab</t>
  </si>
  <si>
    <t>Sign off by Clinical Director</t>
  </si>
  <si>
    <t>On each SDQ worksheet</t>
  </si>
  <si>
    <t>On GBO worksheet</t>
  </si>
  <si>
    <t>Council</t>
  </si>
  <si>
    <t>Period 10</t>
  </si>
  <si>
    <t>Period 11</t>
  </si>
  <si>
    <t>Period 12</t>
  </si>
  <si>
    <t>Period 13</t>
  </si>
  <si>
    <t>Period 14</t>
  </si>
  <si>
    <t>Period 15</t>
  </si>
  <si>
    <t>Period 16</t>
  </si>
  <si>
    <t>Period 17</t>
  </si>
  <si>
    <t>Period 18</t>
  </si>
  <si>
    <t>Save a copy of the Data Record in Individual Client File</t>
  </si>
  <si>
    <t>Note: the 3 scoring columns below are formula driven so the cell cannot be altered EXCEPT for the colour to indicate changes in scores</t>
  </si>
  <si>
    <t>School Scores</t>
  </si>
  <si>
    <t>Self Scores</t>
  </si>
  <si>
    <t>Comparison</t>
  </si>
  <si>
    <t>Data Checks - Confirms if Data in Any of the 4 Forms per Period</t>
  </si>
  <si>
    <t>Checks sequential inputting of data to make sure in correct date order</t>
  </si>
  <si>
    <t xml:space="preserve">Parent/Carer 1 </t>
  </si>
  <si>
    <t>Parent/Carer 2</t>
  </si>
  <si>
    <t>Summary</t>
  </si>
  <si>
    <t>Summary Check: SDQ's have been entered in sequential date order</t>
  </si>
  <si>
    <t>SDQ</t>
  </si>
  <si>
    <t xml:space="preserve">Period </t>
  </si>
  <si>
    <t>Check: data periods have been input in sequential order GBO</t>
  </si>
  <si>
    <t>Check: data periods have been input in sequential order SDQ's</t>
  </si>
  <si>
    <t>Review: data checks for any error messages and amend as necessary</t>
  </si>
  <si>
    <t>Initials for consistency</t>
  </si>
  <si>
    <t>Parent/ Carer 1 Completed SDQ</t>
  </si>
  <si>
    <t>Parent/ Carer 2 Completed SDQ</t>
  </si>
  <si>
    <t>Parent/Carer 1</t>
  </si>
  <si>
    <t>Parent/Carer 1 Score</t>
  </si>
  <si>
    <t>Parent/Carer 2 Score</t>
  </si>
  <si>
    <t>Parent/Carer 2  Score</t>
  </si>
  <si>
    <t>Parent/Carer 1 Scores</t>
  </si>
  <si>
    <t>Parent/Carer 2 School Scores</t>
  </si>
  <si>
    <t>Parent/Carer 2 Scores</t>
  </si>
  <si>
    <t>Additional Intervention Type</t>
  </si>
  <si>
    <t>Select GBO: 1-6 (as many as required) from drop down box and input scores by period</t>
  </si>
  <si>
    <t>Additional Disability Type</t>
  </si>
  <si>
    <t>Extended ACES</t>
  </si>
  <si>
    <t>Additional Funding Source</t>
  </si>
  <si>
    <t>Number of sessions per intervention</t>
  </si>
  <si>
    <t>Version 27.11</t>
  </si>
  <si>
    <t>Changes Made</t>
  </si>
  <si>
    <t>Demographic Information</t>
  </si>
  <si>
    <t>Additional fields added so can select more than one:</t>
  </si>
  <si>
    <t>Additional fields added to capture more information:</t>
  </si>
  <si>
    <t>SDQ’s Summary Periods 1-3</t>
  </si>
  <si>
    <t>Corrected parent 2 column total not pulling through H6-15</t>
  </si>
  <si>
    <t>Audit</t>
  </si>
  <si>
    <t>Added in extra drop down for where GDPR has been sourced from</t>
  </si>
  <si>
    <t>Updated audit checks to Practice Manager</t>
  </si>
  <si>
    <t>Updated the formula in cell E21</t>
  </si>
  <si>
    <t>Updated formula in cell D44</t>
  </si>
  <si>
    <r>
      <t>-</t>
    </r>
    <r>
      <rPr>
        <sz val="11"/>
        <color theme="1"/>
        <rFont val="Calibri"/>
        <family val="2"/>
        <scheme val="minor"/>
      </rPr>
      <t>            Disability type</t>
    </r>
  </si>
  <si>
    <r>
      <t>-</t>
    </r>
    <r>
      <rPr>
        <sz val="11"/>
        <color theme="1"/>
        <rFont val="Calibri"/>
        <family val="2"/>
        <scheme val="minor"/>
      </rPr>
      <t>            Funding type</t>
    </r>
  </si>
  <si>
    <r>
      <t>-</t>
    </r>
    <r>
      <rPr>
        <sz val="11"/>
        <color theme="1"/>
        <rFont val="Calibri"/>
        <family val="2"/>
        <scheme val="minor"/>
      </rPr>
      <t>            Extended ACES</t>
    </r>
  </si>
  <si>
    <r>
      <t>-</t>
    </r>
    <r>
      <rPr>
        <sz val="11"/>
        <color theme="1"/>
        <rFont val="Calibri"/>
        <family val="2"/>
        <scheme val="minor"/>
      </rPr>
      <t>            Number of sessions by intervention type (below intervention type boxes)</t>
    </r>
  </si>
  <si>
    <t>Removed some therapist input checks</t>
  </si>
  <si>
    <t>Additional funding options added to capture more information</t>
  </si>
  <si>
    <t>Community</t>
  </si>
  <si>
    <t>Socio-economic</t>
  </si>
  <si>
    <t>Discrimination &amp; Social Exclusion</t>
  </si>
  <si>
    <t>Health</t>
  </si>
  <si>
    <t>Education</t>
  </si>
  <si>
    <t>Bereavement &amp; Loss</t>
  </si>
  <si>
    <t>Digital/Online Adversities</t>
  </si>
  <si>
    <t>Environment Adversities</t>
  </si>
  <si>
    <t>Child Welfare or Statutory Intervention Experiences</t>
  </si>
  <si>
    <t>Clinical Director/Practice Manager Review and Sign Off</t>
  </si>
  <si>
    <t>Non-Binary</t>
  </si>
  <si>
    <t>Forest of Dean</t>
  </si>
  <si>
    <t>No</t>
  </si>
  <si>
    <t>Disability</t>
  </si>
  <si>
    <t>Learning</t>
  </si>
  <si>
    <t>Cognitive or Memory Impairment</t>
  </si>
  <si>
    <t>Mental Health Condition</t>
  </si>
  <si>
    <t>Yes - Adopted</t>
  </si>
  <si>
    <t>CCPT</t>
  </si>
  <si>
    <t>PTP</t>
  </si>
  <si>
    <t>CPRT</t>
  </si>
  <si>
    <t>IA</t>
  </si>
  <si>
    <t>Asian/Asian British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</si>
</sst>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1"/>
      <color rgb="FFFF0000"/>
      <name val="Calibri"/>
      <family val="2"/>
      <scheme val="minor"/>
    </font>
    <font>
      <sz val="11"/>
      <color rgb="FF000000"/>
      <name val="Times New Roman"/>
      <family val="1"/>
    </font>
    <font>
      <sz val="11"/>
      <color rgb="FFFF0000"/>
      <name val="Times New Roman"/>
      <family val="1"/>
    </font>
    <font>
      <sz val="8"/>
      <name val="Calibri"/>
      <family val="2"/>
      <scheme val="minor"/>
    </font>
    <font>
      <sz val="11"/>
      <color rgb="FFFF0000"/>
      <name val="Calibri"/>
      <family val="2"/>
      <scheme val="minor"/>
    </font>
    <font>
      <b/>
      <sz val="11"/>
      <name val="Calibri"/>
      <family val="2"/>
      <scheme val="minor"/>
    </font>
    <font>
      <sz val="12"/>
      <color rgb="FF222222"/>
      <name val="Arial"/>
      <family val="2"/>
    </font>
  </fonts>
  <fills count="10">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4" tint="0.59999389629810485"/>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s>
  <cellStyleXfs count="1">
    <xf numFmtId="0" fontId="0" fillId="0" borderId="0"/>
  </cellStyleXfs>
  <cellXfs count="197">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left" vertical="center" indent="1"/>
    </xf>
    <xf numFmtId="0" fontId="0" fillId="0" borderId="7" xfId="0" applyBorder="1"/>
    <xf numFmtId="0" fontId="0" fillId="0" borderId="8" xfId="0" applyBorder="1"/>
    <xf numFmtId="0" fontId="0" fillId="0" borderId="9" xfId="0" applyBorder="1"/>
    <xf numFmtId="0" fontId="0" fillId="0" borderId="10" xfId="0" applyBorder="1"/>
    <xf numFmtId="0" fontId="0" fillId="8" borderId="1" xfId="0" applyFill="1" applyBorder="1"/>
    <xf numFmtId="0" fontId="0" fillId="0" borderId="5" xfId="0" applyBorder="1"/>
    <xf numFmtId="0" fontId="1" fillId="0" borderId="19" xfId="0" applyFont="1" applyBorder="1"/>
    <xf numFmtId="0" fontId="0" fillId="0" borderId="19" xfId="0" applyBorder="1"/>
    <xf numFmtId="0" fontId="0" fillId="0" borderId="6" xfId="0" applyBorder="1"/>
    <xf numFmtId="0" fontId="0" fillId="0" borderId="20" xfId="0" applyBorder="1"/>
    <xf numFmtId="0" fontId="0" fillId="3" borderId="21" xfId="0" applyFill="1" applyBorder="1"/>
    <xf numFmtId="0" fontId="0" fillId="7" borderId="21" xfId="0" applyFill="1" applyBorder="1"/>
    <xf numFmtId="0" fontId="8" fillId="0" borderId="0" xfId="0" applyFont="1"/>
    <xf numFmtId="0" fontId="0" fillId="0" borderId="0" xfId="0" applyAlignment="1">
      <alignment horizontal="left" wrapText="1"/>
    </xf>
    <xf numFmtId="0" fontId="0" fillId="0" borderId="0" xfId="0" applyProtection="1">
      <protection locked="0"/>
    </xf>
    <xf numFmtId="0" fontId="0" fillId="0" borderId="5" xfId="0" applyBorder="1" applyProtection="1">
      <protection locked="0"/>
    </xf>
    <xf numFmtId="0" fontId="0" fillId="0" borderId="19"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1" fillId="0" borderId="0" xfId="0" applyFont="1" applyProtection="1">
      <protection locked="0"/>
    </xf>
    <xf numFmtId="0" fontId="0" fillId="0" borderId="0" xfId="0" applyAlignment="1" applyProtection="1">
      <alignment horizontal="right"/>
      <protection locked="0"/>
    </xf>
    <xf numFmtId="0" fontId="6" fillId="0" borderId="0" xfId="0" applyFont="1" applyProtection="1">
      <protection locked="0"/>
    </xf>
    <xf numFmtId="14" fontId="0" fillId="7" borderId="21" xfId="0" applyNumberFormat="1" applyFill="1" applyBorder="1" applyProtection="1">
      <protection locked="0"/>
    </xf>
    <xf numFmtId="0" fontId="1" fillId="0" borderId="0" xfId="0" applyFont="1" applyAlignment="1" applyProtection="1">
      <alignment horizontal="center"/>
      <protection locked="0"/>
    </xf>
    <xf numFmtId="0" fontId="1" fillId="0" borderId="21" xfId="0" applyFont="1" applyBorder="1" applyAlignment="1" applyProtection="1">
      <alignment horizontal="center"/>
      <protection locked="0"/>
    </xf>
    <xf numFmtId="0" fontId="1" fillId="0" borderId="26" xfId="0" applyFont="1" applyBorder="1" applyAlignment="1" applyProtection="1">
      <alignment horizontal="right"/>
      <protection locked="0"/>
    </xf>
    <xf numFmtId="0" fontId="1" fillId="0" borderId="26" xfId="0" applyFont="1" applyBorder="1" applyAlignment="1" applyProtection="1">
      <alignment horizontal="center"/>
      <protection locked="0"/>
    </xf>
    <xf numFmtId="0" fontId="1" fillId="0" borderId="14" xfId="0" applyFont="1" applyBorder="1" applyAlignment="1" applyProtection="1">
      <alignment horizontal="center"/>
      <protection locked="0"/>
    </xf>
    <xf numFmtId="0" fontId="1" fillId="0" borderId="1" xfId="0" applyFont="1" applyBorder="1" applyAlignment="1" applyProtection="1">
      <alignment horizontal="center"/>
      <protection locked="0"/>
    </xf>
    <xf numFmtId="0" fontId="1" fillId="0" borderId="15" xfId="0" applyFont="1" applyBorder="1" applyAlignment="1" applyProtection="1">
      <alignment horizontal="center"/>
      <protection locked="0"/>
    </xf>
    <xf numFmtId="0" fontId="0" fillId="0" borderId="30" xfId="0" applyBorder="1" applyAlignment="1" applyProtection="1">
      <alignment horizontal="right"/>
      <protection locked="0"/>
    </xf>
    <xf numFmtId="14" fontId="0" fillId="7" borderId="1" xfId="0" applyNumberFormat="1" applyFill="1" applyBorder="1" applyProtection="1">
      <protection locked="0"/>
    </xf>
    <xf numFmtId="0" fontId="0" fillId="7" borderId="1" xfId="0" applyFill="1" applyBorder="1" applyProtection="1">
      <protection locked="0"/>
    </xf>
    <xf numFmtId="0" fontId="0" fillId="0" borderId="31" xfId="0" applyBorder="1" applyAlignment="1" applyProtection="1">
      <alignment horizontal="right"/>
      <protection locked="0"/>
    </xf>
    <xf numFmtId="14" fontId="0" fillId="7" borderId="17" xfId="0" applyNumberFormat="1" applyFill="1" applyBorder="1" applyProtection="1">
      <protection locked="0"/>
    </xf>
    <xf numFmtId="0" fontId="0" fillId="7" borderId="17" xfId="0" applyFill="1" applyBorder="1" applyProtection="1">
      <protection locked="0"/>
    </xf>
    <xf numFmtId="0" fontId="0" fillId="0" borderId="9" xfId="0" applyBorder="1" applyProtection="1">
      <protection locked="0"/>
    </xf>
    <xf numFmtId="0" fontId="0" fillId="0" borderId="20" xfId="0" applyBorder="1" applyProtection="1">
      <protection locked="0"/>
    </xf>
    <xf numFmtId="0" fontId="0" fillId="0" borderId="10" xfId="0" applyBorder="1" applyProtection="1">
      <protection locked="0"/>
    </xf>
    <xf numFmtId="14" fontId="0" fillId="8" borderId="11" xfId="0" applyNumberFormat="1" applyFill="1" applyBorder="1"/>
    <xf numFmtId="14" fontId="0" fillId="8" borderId="13" xfId="0" applyNumberFormat="1" applyFill="1" applyBorder="1"/>
    <xf numFmtId="14" fontId="0" fillId="8" borderId="14" xfId="0" applyNumberFormat="1" applyFill="1" applyBorder="1"/>
    <xf numFmtId="14" fontId="0" fillId="8" borderId="15" xfId="0" applyNumberFormat="1" applyFill="1" applyBorder="1"/>
    <xf numFmtId="14" fontId="0" fillId="8" borderId="16" xfId="0" applyNumberFormat="1" applyFill="1" applyBorder="1"/>
    <xf numFmtId="14" fontId="0" fillId="8" borderId="18" xfId="0" applyNumberFormat="1" applyFill="1" applyBorder="1"/>
    <xf numFmtId="0" fontId="0" fillId="3" borderId="23" xfId="0" applyFill="1" applyBorder="1" applyProtection="1">
      <protection locked="0"/>
    </xf>
    <xf numFmtId="0" fontId="1" fillId="3" borderId="23" xfId="0" applyFont="1" applyFill="1" applyBorder="1" applyProtection="1">
      <protection locked="0"/>
    </xf>
    <xf numFmtId="0" fontId="0" fillId="3" borderId="24" xfId="0" applyFill="1" applyBorder="1" applyProtection="1">
      <protection locked="0"/>
    </xf>
    <xf numFmtId="17" fontId="0" fillId="7" borderId="22" xfId="0" applyNumberFormat="1" applyFill="1" applyBorder="1" applyProtection="1">
      <protection locked="0"/>
    </xf>
    <xf numFmtId="0" fontId="0" fillId="0" borderId="22" xfId="0" applyBorder="1" applyProtection="1">
      <protection locked="0"/>
    </xf>
    <xf numFmtId="0" fontId="1" fillId="0" borderId="2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24" xfId="0" applyFont="1" applyBorder="1" applyAlignment="1" applyProtection="1">
      <alignment horizontal="center"/>
      <protection locked="0"/>
    </xf>
    <xf numFmtId="0" fontId="0" fillId="3" borderId="29" xfId="0" applyFill="1" applyBorder="1" applyProtection="1">
      <protection locked="0"/>
    </xf>
    <xf numFmtId="0" fontId="0" fillId="0" borderId="14" xfId="0" applyBorder="1" applyProtection="1">
      <protection locked="0"/>
    </xf>
    <xf numFmtId="0" fontId="0" fillId="0" borderId="16" xfId="0" applyBorder="1" applyProtection="1">
      <protection locked="0"/>
    </xf>
    <xf numFmtId="0" fontId="0" fillId="2" borderId="1" xfId="0" applyFill="1" applyBorder="1" applyProtection="1">
      <protection locked="0"/>
    </xf>
    <xf numFmtId="0" fontId="0" fillId="0" borderId="1" xfId="0" applyBorder="1" applyProtection="1">
      <protection locked="0"/>
    </xf>
    <xf numFmtId="0" fontId="1" fillId="0" borderId="1" xfId="0" applyFont="1" applyBorder="1" applyProtection="1">
      <protection locked="0"/>
    </xf>
    <xf numFmtId="0" fontId="3" fillId="0" borderId="1" xfId="0" applyFont="1" applyBorder="1" applyAlignment="1" applyProtection="1">
      <alignment horizontal="left" vertical="center" wrapText="1" indent="1"/>
      <protection locked="0"/>
    </xf>
    <xf numFmtId="0" fontId="0" fillId="7" borderId="0" xfId="0" applyFill="1" applyProtection="1">
      <protection locked="0"/>
    </xf>
    <xf numFmtId="49" fontId="0" fillId="3" borderId="1" xfId="0" applyNumberFormat="1" applyFill="1" applyBorder="1" applyAlignment="1" applyProtection="1">
      <alignment horizontal="center"/>
      <protection locked="0"/>
    </xf>
    <xf numFmtId="49" fontId="0" fillId="4" borderId="1" xfId="0" applyNumberFormat="1" applyFill="1" applyBorder="1" applyAlignment="1" applyProtection="1">
      <alignment horizontal="center"/>
      <protection locked="0"/>
    </xf>
    <xf numFmtId="49" fontId="0" fillId="5" borderId="1" xfId="0" applyNumberFormat="1" applyFill="1" applyBorder="1" applyAlignment="1" applyProtection="1">
      <alignment horizontal="center"/>
      <protection locked="0"/>
    </xf>
    <xf numFmtId="49" fontId="0" fillId="6" borderId="1" xfId="0" applyNumberFormat="1" applyFill="1" applyBorder="1" applyAlignment="1" applyProtection="1">
      <alignment horizontal="center"/>
      <protection locked="0"/>
    </xf>
    <xf numFmtId="0" fontId="4" fillId="0" borderId="1" xfId="0" applyFont="1" applyBorder="1" applyAlignment="1" applyProtection="1">
      <alignment horizontal="left" vertical="center" wrapText="1" indent="1"/>
      <protection locked="0"/>
    </xf>
    <xf numFmtId="0" fontId="0" fillId="9" borderId="1" xfId="0" applyFill="1" applyBorder="1" applyProtection="1">
      <protection locked="0"/>
    </xf>
    <xf numFmtId="49" fontId="0" fillId="0" borderId="1" xfId="0" applyNumberFormat="1" applyBorder="1" applyProtection="1">
      <protection locked="0"/>
    </xf>
    <xf numFmtId="0" fontId="0" fillId="0" borderId="0" xfId="0" applyAlignment="1" applyProtection="1">
      <alignment horizontal="center"/>
      <protection locked="0"/>
    </xf>
    <xf numFmtId="49" fontId="0" fillId="3" borderId="1" xfId="0" applyNumberFormat="1" applyFill="1" applyBorder="1" applyAlignment="1">
      <alignment horizontal="center"/>
    </xf>
    <xf numFmtId="49" fontId="0" fillId="4" borderId="1" xfId="0" applyNumberFormat="1" applyFill="1" applyBorder="1" applyAlignment="1">
      <alignment horizontal="center"/>
    </xf>
    <xf numFmtId="49" fontId="0" fillId="5" borderId="1" xfId="0" applyNumberFormat="1" applyFill="1" applyBorder="1" applyAlignment="1">
      <alignment horizontal="center"/>
    </xf>
    <xf numFmtId="49" fontId="0" fillId="6" borderId="1" xfId="0" applyNumberFormat="1" applyFill="1" applyBorder="1" applyAlignment="1">
      <alignment horizontal="center"/>
    </xf>
    <xf numFmtId="49" fontId="0" fillId="0" borderId="1" xfId="0" applyNumberFormat="1" applyBorder="1"/>
    <xf numFmtId="0" fontId="1" fillId="0" borderId="7" xfId="0" applyFont="1" applyBorder="1" applyProtection="1">
      <protection locked="0"/>
    </xf>
    <xf numFmtId="0" fontId="0" fillId="8" borderId="21" xfId="0" applyFill="1" applyBorder="1"/>
    <xf numFmtId="0" fontId="0" fillId="0" borderId="11" xfId="0" applyBorder="1" applyAlignment="1" applyProtection="1">
      <alignment horizontal="right"/>
      <protection locked="0"/>
    </xf>
    <xf numFmtId="0" fontId="0" fillId="0" borderId="14" xfId="0" applyBorder="1" applyAlignment="1" applyProtection="1">
      <alignment horizontal="right"/>
      <protection locked="0"/>
    </xf>
    <xf numFmtId="0" fontId="0" fillId="0" borderId="16" xfId="0" applyBorder="1" applyAlignment="1" applyProtection="1">
      <alignment horizontal="right"/>
      <protection locked="0"/>
    </xf>
    <xf numFmtId="0" fontId="0" fillId="3" borderId="21" xfId="0" applyFill="1" applyBorder="1" applyAlignment="1" applyProtection="1">
      <alignment horizontal="right"/>
      <protection locked="0"/>
    </xf>
    <xf numFmtId="14" fontId="0" fillId="7" borderId="21" xfId="0" applyNumberFormat="1" applyFill="1" applyBorder="1" applyAlignment="1" applyProtection="1">
      <alignment horizontal="right"/>
      <protection locked="0"/>
    </xf>
    <xf numFmtId="0" fontId="7" fillId="8" borderId="21" xfId="0" applyFont="1" applyFill="1" applyBorder="1" applyAlignment="1">
      <alignment horizontal="right"/>
    </xf>
    <xf numFmtId="0" fontId="6" fillId="0" borderId="0" xfId="0" applyFont="1" applyAlignment="1" applyProtection="1">
      <alignment horizontal="right"/>
      <protection locked="0"/>
    </xf>
    <xf numFmtId="0" fontId="1" fillId="8" borderId="21" xfId="0" applyFont="1" applyFill="1" applyBorder="1" applyAlignment="1">
      <alignment horizontal="right"/>
    </xf>
    <xf numFmtId="0" fontId="0" fillId="7" borderId="21" xfId="0" applyFill="1" applyBorder="1" applyAlignment="1" applyProtection="1">
      <alignment horizontal="right"/>
      <protection locked="0"/>
    </xf>
    <xf numFmtId="0" fontId="0" fillId="3" borderId="33" xfId="0" applyFill="1" applyBorder="1" applyProtection="1">
      <protection locked="0"/>
    </xf>
    <xf numFmtId="0" fontId="0" fillId="3" borderId="2" xfId="0" applyFill="1" applyBorder="1" applyProtection="1">
      <protection locked="0"/>
    </xf>
    <xf numFmtId="0" fontId="0" fillId="3" borderId="34" xfId="0" applyFill="1" applyBorder="1" applyProtection="1">
      <protection locked="0"/>
    </xf>
    <xf numFmtId="0" fontId="6" fillId="0" borderId="20" xfId="0" applyFont="1" applyBorder="1" applyProtection="1">
      <protection locked="0"/>
    </xf>
    <xf numFmtId="1" fontId="0" fillId="7" borderId="0" xfId="0" applyNumberFormat="1" applyFill="1" applyProtection="1">
      <protection locked="0"/>
    </xf>
    <xf numFmtId="1" fontId="0" fillId="7" borderId="1" xfId="0" applyNumberFormat="1" applyFill="1" applyBorder="1" applyProtection="1">
      <protection locked="0"/>
    </xf>
    <xf numFmtId="0" fontId="1" fillId="0" borderId="11" xfId="0" applyFont="1" applyBorder="1" applyProtection="1">
      <protection locked="0"/>
    </xf>
    <xf numFmtId="0" fontId="1" fillId="8" borderId="13" xfId="0" applyFont="1" applyFill="1" applyBorder="1"/>
    <xf numFmtId="0" fontId="1" fillId="0" borderId="14" xfId="0" applyFont="1" applyBorder="1" applyProtection="1">
      <protection locked="0"/>
    </xf>
    <xf numFmtId="0" fontId="1" fillId="8" borderId="15" xfId="0" applyFont="1" applyFill="1" applyBorder="1"/>
    <xf numFmtId="0" fontId="1" fillId="0" borderId="16" xfId="0" applyFont="1" applyBorder="1" applyProtection="1">
      <protection locked="0"/>
    </xf>
    <xf numFmtId="0" fontId="1" fillId="8" borderId="18" xfId="0" applyFont="1" applyFill="1" applyBorder="1"/>
    <xf numFmtId="0" fontId="1" fillId="8" borderId="35" xfId="0" applyFont="1" applyFill="1" applyBorder="1" applyAlignment="1">
      <alignment horizontal="center"/>
    </xf>
    <xf numFmtId="0" fontId="1" fillId="8" borderId="4" xfId="0" applyFont="1" applyFill="1" applyBorder="1" applyAlignment="1">
      <alignment horizontal="center" wrapText="1"/>
    </xf>
    <xf numFmtId="0" fontId="1" fillId="8" borderId="4" xfId="0" applyFont="1" applyFill="1" applyBorder="1" applyAlignment="1">
      <alignment horizontal="center"/>
    </xf>
    <xf numFmtId="0" fontId="1" fillId="8" borderId="36" xfId="0" applyFont="1" applyFill="1" applyBorder="1" applyAlignment="1">
      <alignment horizontal="center"/>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37" xfId="0" applyFont="1" applyBorder="1" applyProtection="1">
      <protection locked="0"/>
    </xf>
    <xf numFmtId="0" fontId="1" fillId="0" borderId="38"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0" fillId="0" borderId="11" xfId="0" applyBorder="1" applyProtection="1">
      <protection locked="0"/>
    </xf>
    <xf numFmtId="0" fontId="0" fillId="3" borderId="39" xfId="0" applyFill="1" applyBorder="1" applyProtection="1">
      <protection locked="0"/>
    </xf>
    <xf numFmtId="0" fontId="0" fillId="8" borderId="14" xfId="0" applyFill="1" applyBorder="1"/>
    <xf numFmtId="0" fontId="0" fillId="8" borderId="15" xfId="0" applyFill="1" applyBorder="1"/>
    <xf numFmtId="0" fontId="0" fillId="7" borderId="15" xfId="0" applyFill="1" applyBorder="1" applyProtection="1">
      <protection locked="0"/>
    </xf>
    <xf numFmtId="0" fontId="0" fillId="7" borderId="18" xfId="0" applyFill="1" applyBorder="1" applyProtection="1">
      <protection locked="0"/>
    </xf>
    <xf numFmtId="0" fontId="0" fillId="7" borderId="12" xfId="0" applyFill="1" applyBorder="1" applyProtection="1">
      <protection locked="0"/>
    </xf>
    <xf numFmtId="0" fontId="0" fillId="7" borderId="13" xfId="0" applyFill="1" applyBorder="1" applyProtection="1">
      <protection locked="0"/>
    </xf>
    <xf numFmtId="0" fontId="0" fillId="7" borderId="24" xfId="0" applyFill="1" applyBorder="1" applyProtection="1">
      <protection locked="0"/>
    </xf>
    <xf numFmtId="0" fontId="0" fillId="0" borderId="1" xfId="0" applyBorder="1"/>
    <xf numFmtId="1" fontId="0" fillId="0" borderId="1" xfId="0" applyNumberFormat="1" applyBorder="1"/>
    <xf numFmtId="0" fontId="0" fillId="2" borderId="1" xfId="0" applyFill="1" applyBorder="1"/>
    <xf numFmtId="0" fontId="0" fillId="2" borderId="1" xfId="0" applyFill="1" applyBorder="1" applyAlignment="1">
      <alignment horizontal="center"/>
    </xf>
    <xf numFmtId="0" fontId="1" fillId="8" borderId="37" xfId="0" applyFont="1" applyFill="1" applyBorder="1" applyAlignment="1" applyProtection="1">
      <alignment horizontal="center"/>
      <protection locked="0"/>
    </xf>
    <xf numFmtId="0" fontId="1" fillId="8" borderId="46" xfId="0" applyFont="1" applyFill="1" applyBorder="1" applyAlignment="1" applyProtection="1">
      <alignment horizontal="center"/>
      <protection locked="0"/>
    </xf>
    <xf numFmtId="0" fontId="1" fillId="8" borderId="38" xfId="0" applyFont="1" applyFill="1" applyBorder="1" applyAlignment="1" applyProtection="1">
      <alignment horizontal="center"/>
      <protection locked="0"/>
    </xf>
    <xf numFmtId="0" fontId="0" fillId="8" borderId="11" xfId="0" applyFill="1" applyBorder="1"/>
    <xf numFmtId="0" fontId="0" fillId="8" borderId="12" xfId="0" applyFill="1" applyBorder="1"/>
    <xf numFmtId="0" fontId="0" fillId="8" borderId="13" xfId="0" applyFill="1" applyBorder="1"/>
    <xf numFmtId="0" fontId="0" fillId="8" borderId="16" xfId="0" applyFill="1" applyBorder="1"/>
    <xf numFmtId="0" fontId="0" fillId="8" borderId="17" xfId="0" applyFill="1" applyBorder="1"/>
    <xf numFmtId="0" fontId="0" fillId="8" borderId="18" xfId="0" applyFill="1" applyBorder="1"/>
    <xf numFmtId="0" fontId="1" fillId="8" borderId="47" xfId="0" applyFont="1" applyFill="1" applyBorder="1" applyAlignment="1" applyProtection="1">
      <alignment horizontal="center"/>
      <protection locked="0"/>
    </xf>
    <xf numFmtId="0" fontId="0" fillId="8" borderId="48" xfId="0" applyFill="1" applyBorder="1" applyAlignment="1" applyProtection="1">
      <alignment horizontal="center"/>
      <protection locked="0"/>
    </xf>
    <xf numFmtId="0" fontId="0" fillId="8" borderId="12" xfId="0" applyFill="1" applyBorder="1" applyAlignment="1">
      <alignment horizontal="right"/>
    </xf>
    <xf numFmtId="0" fontId="0" fillId="8" borderId="1" xfId="0" applyFill="1" applyBorder="1" applyAlignment="1">
      <alignment horizontal="right"/>
    </xf>
    <xf numFmtId="0" fontId="0" fillId="8" borderId="17" xfId="0" applyFill="1" applyBorder="1" applyAlignment="1">
      <alignment horizontal="right"/>
    </xf>
    <xf numFmtId="0" fontId="0" fillId="8" borderId="21" xfId="0" applyFill="1" applyBorder="1" applyAlignment="1" applyProtection="1">
      <alignment horizontal="right"/>
      <protection locked="0"/>
    </xf>
    <xf numFmtId="0" fontId="1" fillId="0" borderId="0" xfId="0" applyFont="1" applyAlignment="1" applyProtection="1">
      <alignment horizontal="left"/>
      <protection locked="0"/>
    </xf>
    <xf numFmtId="0" fontId="1" fillId="0" borderId="0" xfId="0" applyFont="1" applyAlignment="1" applyProtection="1">
      <alignment horizontal="right"/>
      <protection locked="0"/>
    </xf>
    <xf numFmtId="0" fontId="1" fillId="0" borderId="8" xfId="0" applyFont="1" applyBorder="1" applyAlignment="1" applyProtection="1">
      <alignment horizontal="left"/>
      <protection locked="0"/>
    </xf>
    <xf numFmtId="0" fontId="0" fillId="0" borderId="0" xfId="0" applyAlignment="1" applyProtection="1">
      <alignment horizontal="left"/>
      <protection locked="0"/>
    </xf>
    <xf numFmtId="0" fontId="1" fillId="0" borderId="30" xfId="0" applyFont="1" applyBorder="1" applyAlignment="1" applyProtection="1">
      <alignment horizontal="center"/>
      <protection locked="0"/>
    </xf>
    <xf numFmtId="1" fontId="0" fillId="3" borderId="23" xfId="0" applyNumberFormat="1" applyFill="1" applyBorder="1" applyProtection="1">
      <protection locked="0"/>
    </xf>
    <xf numFmtId="0" fontId="1" fillId="0" borderId="0" xfId="0" applyFont="1" applyAlignment="1" applyProtection="1">
      <alignment horizontal="center" vertical="top" wrapText="1"/>
      <protection locked="0"/>
    </xf>
    <xf numFmtId="0" fontId="1" fillId="0" borderId="0" xfId="0" applyFont="1" applyAlignment="1" applyProtection="1">
      <alignment vertical="top" wrapText="1"/>
      <protection locked="0"/>
    </xf>
    <xf numFmtId="0" fontId="0" fillId="3" borderId="49" xfId="0" applyFill="1" applyBorder="1" applyProtection="1">
      <protection locked="0"/>
    </xf>
    <xf numFmtId="0" fontId="1" fillId="0" borderId="0" xfId="0" applyFont="1" applyAlignment="1">
      <alignment vertical="top" wrapText="1"/>
    </xf>
    <xf numFmtId="0" fontId="1" fillId="0" borderId="30" xfId="0" applyFont="1" applyBorder="1" applyProtection="1">
      <protection locked="0"/>
    </xf>
    <xf numFmtId="0" fontId="1" fillId="0" borderId="3" xfId="0" applyFont="1" applyBorder="1" applyProtection="1">
      <protection locked="0"/>
    </xf>
    <xf numFmtId="0" fontId="6" fillId="0" borderId="19" xfId="0" applyFont="1" applyBorder="1" applyProtection="1">
      <protection locked="0"/>
    </xf>
    <xf numFmtId="0" fontId="1" fillId="0" borderId="32" xfId="0" applyFont="1" applyBorder="1" applyProtection="1">
      <protection locked="0"/>
    </xf>
    <xf numFmtId="14" fontId="0" fillId="7" borderId="30" xfId="0" applyNumberFormat="1" applyFill="1" applyBorder="1" applyProtection="1">
      <protection locked="0"/>
    </xf>
    <xf numFmtId="14" fontId="0" fillId="7" borderId="31" xfId="0" applyNumberFormat="1" applyFill="1" applyBorder="1" applyProtection="1">
      <protection locked="0"/>
    </xf>
    <xf numFmtId="0" fontId="1" fillId="0" borderId="53" xfId="0" applyFont="1" applyBorder="1" applyAlignment="1" applyProtection="1">
      <alignment horizontal="center"/>
      <protection locked="0"/>
    </xf>
    <xf numFmtId="14" fontId="0" fillId="7" borderId="47" xfId="0" applyNumberFormat="1" applyFill="1" applyBorder="1" applyProtection="1">
      <protection locked="0"/>
    </xf>
    <xf numFmtId="14" fontId="0" fillId="7" borderId="54" xfId="0" applyNumberFormat="1" applyFill="1" applyBorder="1" applyProtection="1">
      <protection locked="0"/>
    </xf>
    <xf numFmtId="14" fontId="0" fillId="7" borderId="48" xfId="0" applyNumberFormat="1" applyFill="1" applyBorder="1" applyProtection="1">
      <protection locked="0"/>
    </xf>
    <xf numFmtId="0" fontId="0" fillId="7" borderId="21" xfId="0" applyFill="1" applyBorder="1" applyProtection="1">
      <protection locked="0"/>
    </xf>
    <xf numFmtId="0" fontId="1" fillId="7" borderId="21" xfId="0" applyFont="1" applyFill="1" applyBorder="1" applyProtection="1">
      <protection locked="0"/>
    </xf>
    <xf numFmtId="0" fontId="1" fillId="0" borderId="0" xfId="0" applyFont="1" applyAlignment="1">
      <alignment vertical="center"/>
    </xf>
    <xf numFmtId="0" fontId="0" fillId="0" borderId="0" xfId="0" applyAlignment="1">
      <alignment vertical="center"/>
    </xf>
    <xf numFmtId="0" fontId="0" fillId="0" borderId="0" xfId="0" applyAlignment="1">
      <alignment horizontal="left" vertical="center" indent="5"/>
    </xf>
    <xf numFmtId="0" fontId="0" fillId="0" borderId="1" xfId="0" applyBorder="1" applyAlignment="1" applyProtection="1">
      <alignment horizontal="center"/>
      <protection locked="0"/>
    </xf>
    <xf numFmtId="0" fontId="0" fillId="0" borderId="15" xfId="0" applyBorder="1" applyAlignment="1" applyProtection="1">
      <alignment horizontal="center"/>
      <protection locked="0"/>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xf numFmtId="0" fontId="1" fillId="0" borderId="27" xfId="0" applyFont="1" applyBorder="1" applyAlignment="1" applyProtection="1">
      <alignment horizontal="center"/>
      <protection locked="0"/>
    </xf>
    <xf numFmtId="0" fontId="1" fillId="0" borderId="25" xfId="0" applyFont="1" applyBorder="1" applyAlignment="1" applyProtection="1">
      <alignment horizontal="center"/>
      <protection locked="0"/>
    </xf>
    <xf numFmtId="0" fontId="1" fillId="0" borderId="28" xfId="0" applyFont="1" applyBorder="1" applyAlignment="1" applyProtection="1">
      <alignment horizontal="center"/>
      <protection locked="0"/>
    </xf>
    <xf numFmtId="0" fontId="0" fillId="0" borderId="12" xfId="0" applyBorder="1" applyAlignment="1" applyProtection="1">
      <alignment horizontal="center"/>
      <protection locked="0"/>
    </xf>
    <xf numFmtId="0" fontId="0" fillId="0" borderId="13" xfId="0" applyBorder="1" applyAlignment="1" applyProtection="1">
      <alignment horizontal="center"/>
      <protection locked="0"/>
    </xf>
    <xf numFmtId="0" fontId="1" fillId="0" borderId="50" xfId="0" applyFont="1" applyBorder="1" applyAlignment="1" applyProtection="1">
      <alignment horizontal="center"/>
      <protection locked="0"/>
    </xf>
    <xf numFmtId="0" fontId="1" fillId="0" borderId="51" xfId="0" applyFont="1" applyBorder="1" applyAlignment="1" applyProtection="1">
      <alignment horizontal="center"/>
      <protection locked="0"/>
    </xf>
    <xf numFmtId="0" fontId="1" fillId="0" borderId="52" xfId="0" applyFont="1" applyBorder="1" applyAlignment="1" applyProtection="1">
      <alignment horizontal="center"/>
      <protection locked="0"/>
    </xf>
    <xf numFmtId="0" fontId="0" fillId="0" borderId="0" xfId="0" applyAlignment="1">
      <alignment horizontal="left" wrapText="1"/>
    </xf>
    <xf numFmtId="0" fontId="1" fillId="0" borderId="0" xfId="0" applyFont="1" applyAlignment="1" applyProtection="1">
      <alignment horizontal="center" vertical="top" wrapText="1"/>
      <protection locked="0"/>
    </xf>
    <xf numFmtId="0" fontId="1" fillId="0" borderId="11" xfId="0" applyFont="1" applyBorder="1" applyAlignment="1" applyProtection="1">
      <alignment horizontal="center"/>
      <protection locked="0"/>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8" borderId="5" xfId="0" applyFont="1" applyFill="1" applyBorder="1" applyAlignment="1" applyProtection="1">
      <alignment horizontal="center"/>
      <protection locked="0"/>
    </xf>
    <xf numFmtId="0" fontId="1" fillId="8" borderId="19" xfId="0" applyFont="1" applyFill="1" applyBorder="1" applyAlignment="1" applyProtection="1">
      <alignment horizontal="center"/>
      <protection locked="0"/>
    </xf>
    <xf numFmtId="0" fontId="1" fillId="8" borderId="6" xfId="0" applyFont="1" applyFill="1" applyBorder="1" applyAlignment="1" applyProtection="1">
      <alignment horizontal="center"/>
      <protection locked="0"/>
    </xf>
    <xf numFmtId="0" fontId="0" fillId="2" borderId="2" xfId="0" applyFill="1" applyBorder="1" applyAlignment="1" applyProtection="1">
      <alignment horizontal="center"/>
      <protection locked="0"/>
    </xf>
    <xf numFmtId="0" fontId="0" fillId="2" borderId="3" xfId="0" applyFill="1" applyBorder="1" applyAlignment="1" applyProtection="1">
      <alignment horizontal="center"/>
      <protection locked="0"/>
    </xf>
    <xf numFmtId="0" fontId="0" fillId="2" borderId="4" xfId="0" applyFill="1" applyBorder="1" applyAlignment="1" applyProtection="1">
      <alignment horizontal="center"/>
      <protection locked="0"/>
    </xf>
    <xf numFmtId="0" fontId="0" fillId="0" borderId="0" xfId="0" applyAlignment="1" applyProtection="1">
      <alignment horizontal="center"/>
      <protection locked="0"/>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40" xfId="0" applyFill="1" applyBorder="1" applyAlignment="1">
      <alignment horizontal="center"/>
    </xf>
    <xf numFmtId="0" fontId="0" fillId="2" borderId="41" xfId="0" applyFill="1" applyBorder="1" applyAlignment="1">
      <alignment horizontal="center"/>
    </xf>
    <xf numFmtId="0" fontId="0" fillId="2" borderId="42" xfId="0" applyFill="1" applyBorder="1" applyAlignment="1">
      <alignment horizontal="center"/>
    </xf>
    <xf numFmtId="0" fontId="0" fillId="2" borderId="43" xfId="0" applyFill="1" applyBorder="1" applyAlignment="1">
      <alignment horizontal="center"/>
    </xf>
    <xf numFmtId="0" fontId="0" fillId="2" borderId="44" xfId="0" applyFill="1" applyBorder="1" applyAlignment="1">
      <alignment horizontal="center"/>
    </xf>
    <xf numFmtId="0" fontId="0" fillId="2" borderId="45" xfId="0" applyFill="1" applyBorder="1" applyAlignment="1">
      <alignment horizontal="center"/>
    </xf>
  </cellXfs>
  <cellStyles count="1">
    <cellStyle name="Normal" xfId="0" builtinId="0"/>
  </cellStyles>
  <dxfs count="2">
    <dxf>
      <font>
        <b/>
        <i val="0"/>
        <color rgb="FFEE0000"/>
      </font>
    </dxf>
    <dxf>
      <font>
        <b/>
        <i val="0"/>
        <color rgb="FF00B050"/>
      </font>
    </dxf>
  </dxfs>
  <tableStyles count="0" defaultTableStyle="TableStyleMedium9"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1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1'!$K$14</c:f>
              <c:strCache>
                <c:ptCount val="1"/>
                <c:pt idx="0">
                  <c:v>Parent/Carer 1 Score</c:v>
                </c:pt>
              </c:strCache>
            </c:strRef>
          </c:tx>
          <c:spPr>
            <a:solidFill>
              <a:schemeClr val="accent1"/>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1'!$K$15:$K$24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formatCode="General">
                  <c:v>0</c:v>
                </c:pt>
              </c:numCache>
            </c:numRef>
          </c:val>
          <c:extLst>
            <c:ext xmlns:c16="http://schemas.microsoft.com/office/drawing/2014/chart" uri="{C3380CC4-5D6E-409C-BE32-E72D297353CC}">
              <c16:uniqueId val="{00000000-729B-450C-AE51-85BB00DDC0CB}"/>
            </c:ext>
          </c:extLst>
        </c:ser>
        <c:ser>
          <c:idx val="1"/>
          <c:order val="1"/>
          <c:tx>
            <c:strRef>
              <c:f>'SDQ Period 1'!$L$14</c:f>
              <c:strCache>
                <c:ptCount val="1"/>
                <c:pt idx="0">
                  <c:v>Parent/Carer 2  Score</c:v>
                </c:pt>
              </c:strCache>
            </c:strRef>
          </c:tx>
          <c:spPr>
            <a:solidFill>
              <a:schemeClr val="accent2"/>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729B-450C-AE51-85BB00DDC0CB}"/>
            </c:ext>
          </c:extLst>
        </c:ser>
        <c:ser>
          <c:idx val="2"/>
          <c:order val="2"/>
          <c:tx>
            <c:strRef>
              <c:f>'SDQ Period 1'!$M$14</c:f>
              <c:strCache>
                <c:ptCount val="1"/>
                <c:pt idx="0">
                  <c:v>School Score</c:v>
                </c:pt>
              </c:strCache>
            </c:strRef>
          </c:tx>
          <c:spPr>
            <a:solidFill>
              <a:schemeClr val="accent3"/>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729B-450C-AE51-85BB00DDC0CB}"/>
            </c:ext>
          </c:extLst>
        </c:ser>
        <c:ser>
          <c:idx val="3"/>
          <c:order val="3"/>
          <c:tx>
            <c:strRef>
              <c:f>'SDQ Period 1'!$N$14</c:f>
              <c:strCache>
                <c:ptCount val="1"/>
                <c:pt idx="0">
                  <c:v>Self Score</c:v>
                </c:pt>
              </c:strCache>
            </c:strRef>
          </c:tx>
          <c:spPr>
            <a:solidFill>
              <a:schemeClr val="accent4"/>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7184-456E-A93A-8C93907B52FE}"/>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2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2'!$K$14</c:f>
              <c:strCache>
                <c:ptCount val="1"/>
                <c:pt idx="0">
                  <c:v>Parent/Carer 1 Score</c:v>
                </c:pt>
              </c:strCache>
            </c:strRef>
          </c:tx>
          <c:spPr>
            <a:solidFill>
              <a:schemeClr val="accent1"/>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2'!$K$15:$K$24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formatCode="General">
                  <c:v>0</c:v>
                </c:pt>
              </c:numCache>
            </c:numRef>
          </c:val>
          <c:extLst>
            <c:ext xmlns:c16="http://schemas.microsoft.com/office/drawing/2014/chart" uri="{C3380CC4-5D6E-409C-BE32-E72D297353CC}">
              <c16:uniqueId val="{00000000-49FD-48E0-88B3-DE155D93985C}"/>
            </c:ext>
          </c:extLst>
        </c:ser>
        <c:ser>
          <c:idx val="1"/>
          <c:order val="1"/>
          <c:tx>
            <c:strRef>
              <c:f>'SDQ Period 2'!$L$14</c:f>
              <c:strCache>
                <c:ptCount val="1"/>
                <c:pt idx="0">
                  <c:v>Parent/Carer 2 Score</c:v>
                </c:pt>
              </c:strCache>
            </c:strRef>
          </c:tx>
          <c:spPr>
            <a:solidFill>
              <a:schemeClr val="accent2"/>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49FD-48E0-88B3-DE155D93985C}"/>
            </c:ext>
          </c:extLst>
        </c:ser>
        <c:ser>
          <c:idx val="2"/>
          <c:order val="2"/>
          <c:tx>
            <c:strRef>
              <c:f>'SDQ Period 2'!$M$14</c:f>
              <c:strCache>
                <c:ptCount val="1"/>
                <c:pt idx="0">
                  <c:v>School</c:v>
                </c:pt>
              </c:strCache>
            </c:strRef>
          </c:tx>
          <c:spPr>
            <a:solidFill>
              <a:schemeClr val="accent3"/>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49FD-48E0-88B3-DE155D93985C}"/>
            </c:ext>
          </c:extLst>
        </c:ser>
        <c:ser>
          <c:idx val="3"/>
          <c:order val="3"/>
          <c:tx>
            <c:strRef>
              <c:f>'SDQ Period 2'!$N$14</c:f>
              <c:strCache>
                <c:ptCount val="1"/>
                <c:pt idx="0">
                  <c:v>Self Score</c:v>
                </c:pt>
              </c:strCache>
            </c:strRef>
          </c:tx>
          <c:spPr>
            <a:solidFill>
              <a:schemeClr val="accent4"/>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E1A4-4E9D-83D2-AF0B179744F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3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3'!$K$14</c:f>
              <c:strCache>
                <c:ptCount val="1"/>
                <c:pt idx="0">
                  <c:v>Parent/Carer 1 Score</c:v>
                </c:pt>
              </c:strCache>
            </c:strRef>
          </c:tx>
          <c:spPr>
            <a:solidFill>
              <a:schemeClr val="accent1"/>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2839-461F-9EE2-BD06CAD45C31}"/>
            </c:ext>
          </c:extLst>
        </c:ser>
        <c:ser>
          <c:idx val="1"/>
          <c:order val="1"/>
          <c:tx>
            <c:strRef>
              <c:f>'SDQ Period 3'!$L$14</c:f>
              <c:strCache>
                <c:ptCount val="1"/>
                <c:pt idx="0">
                  <c:v>Parent/Carer 2 Score</c:v>
                </c:pt>
              </c:strCache>
            </c:strRef>
          </c:tx>
          <c:spPr>
            <a:solidFill>
              <a:schemeClr val="accent2"/>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2839-461F-9EE2-BD06CAD45C31}"/>
            </c:ext>
          </c:extLst>
        </c:ser>
        <c:ser>
          <c:idx val="2"/>
          <c:order val="2"/>
          <c:tx>
            <c:strRef>
              <c:f>'SDQ Period 3'!$M$14</c:f>
              <c:strCache>
                <c:ptCount val="1"/>
                <c:pt idx="0">
                  <c:v>School Score</c:v>
                </c:pt>
              </c:strCache>
            </c:strRef>
          </c:tx>
          <c:spPr>
            <a:solidFill>
              <a:schemeClr val="accent3"/>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2839-461F-9EE2-BD06CAD45C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4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4'!$K$14</c:f>
              <c:strCache>
                <c:ptCount val="1"/>
                <c:pt idx="0">
                  <c:v>Parent/Carer 1 Score</c:v>
                </c:pt>
              </c:strCache>
            </c:strRef>
          </c:tx>
          <c:spPr>
            <a:solidFill>
              <a:schemeClr val="accent1"/>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EC8-4BC0-9267-B2A9EF83D791}"/>
            </c:ext>
          </c:extLst>
        </c:ser>
        <c:ser>
          <c:idx val="1"/>
          <c:order val="1"/>
          <c:tx>
            <c:strRef>
              <c:f>'SDQ Period 4'!$L$14</c:f>
              <c:strCache>
                <c:ptCount val="1"/>
                <c:pt idx="0">
                  <c:v>Parent/Carer 2 Score</c:v>
                </c:pt>
              </c:strCache>
            </c:strRef>
          </c:tx>
          <c:spPr>
            <a:solidFill>
              <a:schemeClr val="accent2"/>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EC8-4BC0-9267-B2A9EF83D791}"/>
            </c:ext>
          </c:extLst>
        </c:ser>
        <c:ser>
          <c:idx val="2"/>
          <c:order val="2"/>
          <c:tx>
            <c:strRef>
              <c:f>'SDQ Period 4'!$M$14</c:f>
              <c:strCache>
                <c:ptCount val="1"/>
                <c:pt idx="0">
                  <c:v>School Score</c:v>
                </c:pt>
              </c:strCache>
            </c:strRef>
          </c:tx>
          <c:spPr>
            <a:solidFill>
              <a:schemeClr val="accent3"/>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EC8-4BC0-9267-B2A9EF83D791}"/>
            </c:ext>
          </c:extLst>
        </c:ser>
        <c:ser>
          <c:idx val="3"/>
          <c:order val="3"/>
          <c:tx>
            <c:strRef>
              <c:f>'SDQ Period 4'!$N$14</c:f>
              <c:strCache>
                <c:ptCount val="1"/>
                <c:pt idx="0">
                  <c:v>Self Score</c:v>
                </c:pt>
              </c:strCache>
            </c:strRef>
          </c:tx>
          <c:spPr>
            <a:solidFill>
              <a:schemeClr val="accent4"/>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C24E-49DF-8644-192FDEAC6E6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5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5'!$K$14</c:f>
              <c:strCache>
                <c:ptCount val="1"/>
                <c:pt idx="0">
                  <c:v>Parent/Carer 1 Score</c:v>
                </c:pt>
              </c:strCache>
            </c:strRef>
          </c:tx>
          <c:spPr>
            <a:solidFill>
              <a:schemeClr val="accent1"/>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FCF0-4B42-8DF8-BE02A068986E}"/>
            </c:ext>
          </c:extLst>
        </c:ser>
        <c:ser>
          <c:idx val="1"/>
          <c:order val="1"/>
          <c:tx>
            <c:strRef>
              <c:f>'SDQ Period 5'!$L$14</c:f>
              <c:strCache>
                <c:ptCount val="1"/>
                <c:pt idx="0">
                  <c:v>Parent/Carer 2 Score</c:v>
                </c:pt>
              </c:strCache>
            </c:strRef>
          </c:tx>
          <c:spPr>
            <a:solidFill>
              <a:schemeClr val="accent2"/>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FCF0-4B42-8DF8-BE02A068986E}"/>
            </c:ext>
          </c:extLst>
        </c:ser>
        <c:ser>
          <c:idx val="2"/>
          <c:order val="2"/>
          <c:tx>
            <c:strRef>
              <c:f>'SDQ Period 5'!$M$14</c:f>
              <c:strCache>
                <c:ptCount val="1"/>
                <c:pt idx="0">
                  <c:v>School Score</c:v>
                </c:pt>
              </c:strCache>
            </c:strRef>
          </c:tx>
          <c:spPr>
            <a:solidFill>
              <a:schemeClr val="accent3"/>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FCF0-4B42-8DF8-BE02A068986E}"/>
            </c:ext>
          </c:extLst>
        </c:ser>
        <c:ser>
          <c:idx val="3"/>
          <c:order val="3"/>
          <c:tx>
            <c:strRef>
              <c:f>'SDQ Period 5'!$N$14</c:f>
              <c:strCache>
                <c:ptCount val="1"/>
                <c:pt idx="0">
                  <c:v>Self Score</c:v>
                </c:pt>
              </c:strCache>
            </c:strRef>
          </c:tx>
          <c:spPr>
            <a:solidFill>
              <a:schemeClr val="accent4"/>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A62B-4C13-B461-CC03F18B1E08}"/>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6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6'!$K$14</c:f>
              <c:strCache>
                <c:ptCount val="1"/>
                <c:pt idx="0">
                  <c:v>Parent/Carer 1 Score</c:v>
                </c:pt>
              </c:strCache>
            </c:strRef>
          </c:tx>
          <c:spPr>
            <a:solidFill>
              <a:schemeClr val="accent1"/>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F97-4DA5-B584-277BFD031131}"/>
            </c:ext>
          </c:extLst>
        </c:ser>
        <c:ser>
          <c:idx val="1"/>
          <c:order val="1"/>
          <c:tx>
            <c:strRef>
              <c:f>'SDQ Period 6'!$L$14</c:f>
              <c:strCache>
                <c:ptCount val="1"/>
                <c:pt idx="0">
                  <c:v>Parent/Carer 2 Score</c:v>
                </c:pt>
              </c:strCache>
            </c:strRef>
          </c:tx>
          <c:spPr>
            <a:solidFill>
              <a:schemeClr val="accent2"/>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F97-4DA5-B584-277BFD031131}"/>
            </c:ext>
          </c:extLst>
        </c:ser>
        <c:ser>
          <c:idx val="2"/>
          <c:order val="2"/>
          <c:tx>
            <c:strRef>
              <c:f>'SDQ Period 6'!$M$14</c:f>
              <c:strCache>
                <c:ptCount val="1"/>
                <c:pt idx="0">
                  <c:v>School Score</c:v>
                </c:pt>
              </c:strCache>
            </c:strRef>
          </c:tx>
          <c:spPr>
            <a:solidFill>
              <a:schemeClr val="accent3"/>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F97-4DA5-B584-277BFD0311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a:t>
            </a:r>
            <a:r>
              <a:rPr lang="en-US" baseline="0"/>
              <a:t> 7</a:t>
            </a:r>
            <a:r>
              <a:rPr lang="en-US"/>
              <a:t>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7'!$K$14</c:f>
              <c:strCache>
                <c:ptCount val="1"/>
                <c:pt idx="0">
                  <c:v>Parent/Carer 1 Score</c:v>
                </c:pt>
              </c:strCache>
            </c:strRef>
          </c:tx>
          <c:spPr>
            <a:solidFill>
              <a:schemeClr val="accent1"/>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09FE-49EB-A482-9137E68024D5}"/>
            </c:ext>
          </c:extLst>
        </c:ser>
        <c:ser>
          <c:idx val="1"/>
          <c:order val="1"/>
          <c:tx>
            <c:strRef>
              <c:f>'SDQ Period 7'!$L$14</c:f>
              <c:strCache>
                <c:ptCount val="1"/>
                <c:pt idx="0">
                  <c:v>Parent/Carer 2 Score</c:v>
                </c:pt>
              </c:strCache>
            </c:strRef>
          </c:tx>
          <c:spPr>
            <a:solidFill>
              <a:schemeClr val="accent2"/>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09FE-49EB-A482-9137E68024D5}"/>
            </c:ext>
          </c:extLst>
        </c:ser>
        <c:ser>
          <c:idx val="2"/>
          <c:order val="2"/>
          <c:tx>
            <c:strRef>
              <c:f>'SDQ Period 7'!$M$14</c:f>
              <c:strCache>
                <c:ptCount val="1"/>
                <c:pt idx="0">
                  <c:v>School Score</c:v>
                </c:pt>
              </c:strCache>
            </c:strRef>
          </c:tx>
          <c:spPr>
            <a:solidFill>
              <a:schemeClr val="accent3"/>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09FE-49EB-A482-9137E68024D5}"/>
            </c:ext>
          </c:extLst>
        </c:ser>
        <c:ser>
          <c:idx val="3"/>
          <c:order val="3"/>
          <c:tx>
            <c:strRef>
              <c:f>'SDQ Period 7'!$N$14</c:f>
              <c:strCache>
                <c:ptCount val="1"/>
                <c:pt idx="0">
                  <c:v>Self Score</c:v>
                </c:pt>
              </c:strCache>
            </c:strRef>
          </c:tx>
          <c:spPr>
            <a:solidFill>
              <a:schemeClr val="accent4"/>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08F2-4020-B746-D661B1C882A3}"/>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8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8'!$K$14</c:f>
              <c:strCache>
                <c:ptCount val="1"/>
                <c:pt idx="0">
                  <c:v>Parent/Carer 1 Score</c:v>
                </c:pt>
              </c:strCache>
            </c:strRef>
          </c:tx>
          <c:spPr>
            <a:solidFill>
              <a:schemeClr val="accent1"/>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C5F-41BD-BFBF-2365B3251C96}"/>
            </c:ext>
          </c:extLst>
        </c:ser>
        <c:ser>
          <c:idx val="1"/>
          <c:order val="1"/>
          <c:tx>
            <c:strRef>
              <c:f>'SDQ Period 8'!$L$14</c:f>
              <c:strCache>
                <c:ptCount val="1"/>
                <c:pt idx="0">
                  <c:v>Parent/Carer 2 Score</c:v>
                </c:pt>
              </c:strCache>
            </c:strRef>
          </c:tx>
          <c:spPr>
            <a:solidFill>
              <a:schemeClr val="accent2"/>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C5F-41BD-BFBF-2365B3251C96}"/>
            </c:ext>
          </c:extLst>
        </c:ser>
        <c:ser>
          <c:idx val="2"/>
          <c:order val="2"/>
          <c:tx>
            <c:strRef>
              <c:f>'SDQ Period 8'!$M$14</c:f>
              <c:strCache>
                <c:ptCount val="1"/>
                <c:pt idx="0">
                  <c:v>School Score</c:v>
                </c:pt>
              </c:strCache>
            </c:strRef>
          </c:tx>
          <c:spPr>
            <a:solidFill>
              <a:schemeClr val="accent3"/>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C5F-41BD-BFBF-2365B3251C96}"/>
            </c:ext>
          </c:extLst>
        </c:ser>
        <c:ser>
          <c:idx val="3"/>
          <c:order val="3"/>
          <c:tx>
            <c:strRef>
              <c:f>'SDQ Period 8'!$N$14</c:f>
              <c:strCache>
                <c:ptCount val="1"/>
                <c:pt idx="0">
                  <c:v>Self Score</c:v>
                </c:pt>
              </c:strCache>
            </c:strRef>
          </c:tx>
          <c:spPr>
            <a:solidFill>
              <a:schemeClr val="accent4"/>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3D93-477F-BE32-F143FB9F16F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9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9'!$K$14</c:f>
              <c:strCache>
                <c:ptCount val="1"/>
                <c:pt idx="0">
                  <c:v>Parent/Carer 1 Score</c:v>
                </c:pt>
              </c:strCache>
            </c:strRef>
          </c:tx>
          <c:spPr>
            <a:solidFill>
              <a:schemeClr val="accent1"/>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EE92-4DA1-8C27-E94E716865F3}"/>
            </c:ext>
          </c:extLst>
        </c:ser>
        <c:ser>
          <c:idx val="1"/>
          <c:order val="1"/>
          <c:tx>
            <c:strRef>
              <c:f>'SDQ Period 9'!$L$14</c:f>
              <c:strCache>
                <c:ptCount val="1"/>
                <c:pt idx="0">
                  <c:v>Parent/Carer 2 Score</c:v>
                </c:pt>
              </c:strCache>
            </c:strRef>
          </c:tx>
          <c:spPr>
            <a:solidFill>
              <a:schemeClr val="accent2"/>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EE92-4DA1-8C27-E94E716865F3}"/>
            </c:ext>
          </c:extLst>
        </c:ser>
        <c:ser>
          <c:idx val="2"/>
          <c:order val="2"/>
          <c:tx>
            <c:strRef>
              <c:f>'SDQ Period 9'!$M$14</c:f>
              <c:strCache>
                <c:ptCount val="1"/>
                <c:pt idx="0">
                  <c:v>School Score</c:v>
                </c:pt>
              </c:strCache>
            </c:strRef>
          </c:tx>
          <c:spPr>
            <a:solidFill>
              <a:schemeClr val="accent3"/>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EE92-4DA1-8C27-E94E716865F3}"/>
            </c:ext>
          </c:extLst>
        </c:ser>
        <c:ser>
          <c:idx val="3"/>
          <c:order val="3"/>
          <c:tx>
            <c:strRef>
              <c:f>'SDQ Period 9'!$N$14</c:f>
              <c:strCache>
                <c:ptCount val="1"/>
                <c:pt idx="0">
                  <c:v>Self Score</c:v>
                </c:pt>
              </c:strCache>
            </c:strRef>
          </c:tx>
          <c:spPr>
            <a:solidFill>
              <a:schemeClr val="accent4"/>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E359-4EFD-A6D6-6191D9A4653C}"/>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1- 3</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1-3'!$B$6</c:f>
              <c:strCache>
                <c:ptCount val="1"/>
                <c:pt idx="0">
                  <c:v>Emotional</c:v>
                </c:pt>
              </c:strCache>
            </c:strRef>
          </c:tx>
          <c:spPr>
            <a:solidFill>
              <a:schemeClr val="accent1"/>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1-3'!$C$6:$N$6</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c:ext xmlns:c16="http://schemas.microsoft.com/office/drawing/2014/chart" uri="{C3380CC4-5D6E-409C-BE32-E72D297353CC}">
              <c16:uniqueId val="{00000000-BE04-4184-A145-E3D17E444073}"/>
            </c:ext>
          </c:extLst>
        </c:ser>
        <c:ser>
          <c:idx val="1"/>
          <c:order val="1"/>
          <c:tx>
            <c:strRef>
              <c:f>'Summary SDQs Periods 1-3'!$B$7</c:f>
              <c:strCache>
                <c:ptCount val="1"/>
                <c:pt idx="0">
                  <c:v>Peer</c:v>
                </c:pt>
              </c:strCache>
            </c:strRef>
          </c:tx>
          <c:spPr>
            <a:solidFill>
              <a:schemeClr val="accent2"/>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1-3'!$C$7:$N$7</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c:ext xmlns:c16="http://schemas.microsoft.com/office/drawing/2014/chart" uri="{C3380CC4-5D6E-409C-BE32-E72D297353CC}">
              <c16:uniqueId val="{00000001-BE04-4184-A145-E3D17E444073}"/>
            </c:ext>
          </c:extLst>
        </c:ser>
        <c:ser>
          <c:idx val="2"/>
          <c:order val="2"/>
          <c:tx>
            <c:strRef>
              <c:f>'Summary SDQs Periods 1-3'!$B$8</c:f>
              <c:strCache>
                <c:ptCount val="1"/>
                <c:pt idx="0">
                  <c:v>Conduct</c:v>
                </c:pt>
              </c:strCache>
            </c:strRef>
          </c:tx>
          <c:spPr>
            <a:solidFill>
              <a:schemeClr val="accent3"/>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1-3'!$C$8:$N$8</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c:ext xmlns:c16="http://schemas.microsoft.com/office/drawing/2014/chart" uri="{C3380CC4-5D6E-409C-BE32-E72D297353CC}">
              <c16:uniqueId val="{00000002-BE04-4184-A145-E3D17E444073}"/>
            </c:ext>
          </c:extLst>
        </c:ser>
        <c:ser>
          <c:idx val="3"/>
          <c:order val="3"/>
          <c:tx>
            <c:strRef>
              <c:f>'Summary SDQs Periods 1-3'!$B$9</c:f>
              <c:strCache>
                <c:ptCount val="1"/>
                <c:pt idx="0">
                  <c:v>HyperActivity</c:v>
                </c:pt>
              </c:strCache>
            </c:strRef>
          </c:tx>
          <c:spPr>
            <a:solidFill>
              <a:schemeClr val="accent4"/>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1-3'!$C$9:$N$9</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c:ext xmlns:c16="http://schemas.microsoft.com/office/drawing/2014/chart" uri="{C3380CC4-5D6E-409C-BE32-E72D297353CC}">
              <c16:uniqueId val="{00000003-BE04-4184-A145-E3D17E444073}"/>
            </c:ext>
          </c:extLst>
        </c:ser>
        <c:ser>
          <c:idx val="4"/>
          <c:order val="4"/>
          <c:tx>
            <c:strRef>
              <c:f>'Summary SDQs Periods 1-3'!$B$10</c:f>
              <c:strCache>
                <c:ptCount val="1"/>
                <c:pt idx="0">
                  <c:v>Total Difficulties</c:v>
                </c:pt>
              </c:strCache>
            </c:strRef>
          </c:tx>
          <c:spPr>
            <a:solidFill>
              <a:schemeClr val="accent5"/>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1-3'!$C$10:$N$10</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c:ext xmlns:c16="http://schemas.microsoft.com/office/drawing/2014/chart" uri="{C3380CC4-5D6E-409C-BE32-E72D297353CC}">
              <c16:uniqueId val="{00000004-BE04-4184-A145-E3D17E444073}"/>
            </c:ext>
          </c:extLst>
        </c:ser>
        <c:ser>
          <c:idx val="5"/>
          <c:order val="5"/>
          <c:tx>
            <c:strRef>
              <c:f>'Summary SDQs Periods 1-3'!$B$11</c:f>
              <c:strCache>
                <c:ptCount val="1"/>
                <c:pt idx="0">
                  <c:v>SubTotal Internalising</c:v>
                </c:pt>
              </c:strCache>
            </c:strRef>
          </c:tx>
          <c:spPr>
            <a:solidFill>
              <a:schemeClr val="accent6"/>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1-3'!$C$11:$N$11</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c:ext xmlns:c16="http://schemas.microsoft.com/office/drawing/2014/chart" uri="{C3380CC4-5D6E-409C-BE32-E72D297353CC}">
              <c16:uniqueId val="{00000005-BE04-4184-A145-E3D17E444073}"/>
            </c:ext>
          </c:extLst>
        </c:ser>
        <c:ser>
          <c:idx val="6"/>
          <c:order val="6"/>
          <c:tx>
            <c:strRef>
              <c:f>'Summary SDQs Periods 1-3'!$B$12</c:f>
              <c:strCache>
                <c:ptCount val="1"/>
                <c:pt idx="0">
                  <c:v>Sub Total Externalising</c:v>
                </c:pt>
              </c:strCache>
            </c:strRef>
          </c:tx>
          <c:spPr>
            <a:solidFill>
              <a:schemeClr val="accent1">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1-3'!$C$12:$N$12</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c:ext xmlns:c16="http://schemas.microsoft.com/office/drawing/2014/chart" uri="{C3380CC4-5D6E-409C-BE32-E72D297353CC}">
              <c16:uniqueId val="{00000006-BE04-4184-A145-E3D17E444073}"/>
            </c:ext>
          </c:extLst>
        </c:ser>
        <c:ser>
          <c:idx val="7"/>
          <c:order val="7"/>
          <c:tx>
            <c:strRef>
              <c:f>'Summary SDQs Periods 1-3'!$B$13</c:f>
              <c:strCache>
                <c:ptCount val="1"/>
                <c:pt idx="0">
                  <c:v>Impact</c:v>
                </c:pt>
              </c:strCache>
            </c:strRef>
          </c:tx>
          <c:spPr>
            <a:solidFill>
              <a:schemeClr val="accent2">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1-3'!$C$13:$N$13</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c:ext xmlns:c16="http://schemas.microsoft.com/office/drawing/2014/chart" uri="{C3380CC4-5D6E-409C-BE32-E72D297353CC}">
              <c16:uniqueId val="{00000007-BE04-4184-A145-E3D17E444073}"/>
            </c:ext>
          </c:extLst>
        </c:ser>
        <c:ser>
          <c:idx val="8"/>
          <c:order val="8"/>
          <c:tx>
            <c:strRef>
              <c:f>'Summary SDQs Periods 1-3'!$B$14</c:f>
              <c:strCache>
                <c:ptCount val="1"/>
              </c:strCache>
            </c:strRef>
          </c:tx>
          <c:spPr>
            <a:solidFill>
              <a:schemeClr val="accent3">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1-3'!$C$14:$N$14</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xmlns:c15="http://schemas.microsoft.com/office/drawing/2012/chart">
            <c:ext xmlns:c16="http://schemas.microsoft.com/office/drawing/2014/chart" uri="{C3380CC4-5D6E-409C-BE32-E72D297353CC}">
              <c16:uniqueId val="{00000009-BE04-4184-A145-E3D17E444073}"/>
            </c:ext>
          </c:extLst>
        </c:ser>
        <c:ser>
          <c:idx val="9"/>
          <c:order val="9"/>
          <c:tx>
            <c:strRef>
              <c:f>'Summary SDQs Periods 1-3'!$B$15</c:f>
              <c:strCache>
                <c:ptCount val="1"/>
                <c:pt idx="0">
                  <c:v>Pro Social</c:v>
                </c:pt>
              </c:strCache>
            </c:strRef>
          </c:tx>
          <c:spPr>
            <a:solidFill>
              <a:schemeClr val="accent4">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1-3'!$C$15:$N$15</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c:ext xmlns:c16="http://schemas.microsoft.com/office/drawing/2014/chart" uri="{C3380CC4-5D6E-409C-BE32-E72D297353CC}">
              <c16:uniqueId val="{00000001-BD69-45CA-AE41-9722E0DFA35C}"/>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1-6</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1-6'!$B$6</c:f>
              <c:strCache>
                <c:ptCount val="1"/>
                <c:pt idx="0">
                  <c:v>Emotional</c:v>
                </c:pt>
              </c:strCache>
            </c:strRef>
          </c:tx>
          <c:spPr>
            <a:solidFill>
              <a:schemeClr val="accent1"/>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1-6'!$C$6:$Z$6</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0-853F-467B-8BD8-220A6694AFEA}"/>
            </c:ext>
          </c:extLst>
        </c:ser>
        <c:ser>
          <c:idx val="1"/>
          <c:order val="1"/>
          <c:tx>
            <c:strRef>
              <c:f>'Summary SDQs Periods 1-6'!$B$7</c:f>
              <c:strCache>
                <c:ptCount val="1"/>
                <c:pt idx="0">
                  <c:v>Peer</c:v>
                </c:pt>
              </c:strCache>
            </c:strRef>
          </c:tx>
          <c:spPr>
            <a:solidFill>
              <a:schemeClr val="accent2"/>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1-6'!$C$7:$Z$7</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1-853F-467B-8BD8-220A6694AFEA}"/>
            </c:ext>
          </c:extLst>
        </c:ser>
        <c:ser>
          <c:idx val="2"/>
          <c:order val="2"/>
          <c:tx>
            <c:strRef>
              <c:f>'Summary SDQs Periods 1-6'!$B$8</c:f>
              <c:strCache>
                <c:ptCount val="1"/>
                <c:pt idx="0">
                  <c:v>Conduct</c:v>
                </c:pt>
              </c:strCache>
            </c:strRef>
          </c:tx>
          <c:spPr>
            <a:solidFill>
              <a:schemeClr val="accent3"/>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1-6'!$C$8:$Z$8</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2-853F-467B-8BD8-220A6694AFEA}"/>
            </c:ext>
          </c:extLst>
        </c:ser>
        <c:ser>
          <c:idx val="3"/>
          <c:order val="3"/>
          <c:tx>
            <c:strRef>
              <c:f>'Summary SDQs Periods 1-6'!$B$9</c:f>
              <c:strCache>
                <c:ptCount val="1"/>
                <c:pt idx="0">
                  <c:v>HyperActivity</c:v>
                </c:pt>
              </c:strCache>
            </c:strRef>
          </c:tx>
          <c:spPr>
            <a:solidFill>
              <a:schemeClr val="accent4"/>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1-6'!$C$9:$Z$9</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3-853F-467B-8BD8-220A6694AFEA}"/>
            </c:ext>
          </c:extLst>
        </c:ser>
        <c:ser>
          <c:idx val="4"/>
          <c:order val="4"/>
          <c:tx>
            <c:strRef>
              <c:f>'Summary SDQs Periods 1-6'!$B$10</c:f>
              <c:strCache>
                <c:ptCount val="1"/>
                <c:pt idx="0">
                  <c:v>Total Difficulties</c:v>
                </c:pt>
              </c:strCache>
            </c:strRef>
          </c:tx>
          <c:spPr>
            <a:solidFill>
              <a:schemeClr val="accent5"/>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1-6'!$C$10:$Z$10</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4-853F-467B-8BD8-220A6694AFEA}"/>
            </c:ext>
          </c:extLst>
        </c:ser>
        <c:ser>
          <c:idx val="5"/>
          <c:order val="5"/>
          <c:tx>
            <c:strRef>
              <c:f>'Summary SDQs Periods 1-6'!$B$11</c:f>
              <c:strCache>
                <c:ptCount val="1"/>
                <c:pt idx="0">
                  <c:v>SubTotal Internalising</c:v>
                </c:pt>
              </c:strCache>
            </c:strRef>
          </c:tx>
          <c:spPr>
            <a:solidFill>
              <a:schemeClr val="accent6"/>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1-6'!$C$11:$Z$11</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5-853F-467B-8BD8-220A6694AFEA}"/>
            </c:ext>
          </c:extLst>
        </c:ser>
        <c:ser>
          <c:idx val="6"/>
          <c:order val="6"/>
          <c:tx>
            <c:strRef>
              <c:f>'Summary SDQs Periods 1-6'!$B$12</c:f>
              <c:strCache>
                <c:ptCount val="1"/>
                <c:pt idx="0">
                  <c:v>Sub Total Externalising</c:v>
                </c:pt>
              </c:strCache>
            </c:strRef>
          </c:tx>
          <c:spPr>
            <a:solidFill>
              <a:schemeClr val="accent1">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1-6'!$C$12:$Z$12</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6-853F-467B-8BD8-220A6694AFEA}"/>
            </c:ext>
          </c:extLst>
        </c:ser>
        <c:ser>
          <c:idx val="7"/>
          <c:order val="7"/>
          <c:tx>
            <c:strRef>
              <c:f>'Summary SDQs Periods 1-6'!$B$13</c:f>
              <c:strCache>
                <c:ptCount val="1"/>
                <c:pt idx="0">
                  <c:v>Impact</c:v>
                </c:pt>
              </c:strCache>
            </c:strRef>
          </c:tx>
          <c:spPr>
            <a:solidFill>
              <a:schemeClr val="accent2">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1-6'!$C$13:$Z$13</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7-853F-467B-8BD8-220A6694AFEA}"/>
            </c:ext>
          </c:extLst>
        </c:ser>
        <c:ser>
          <c:idx val="8"/>
          <c:order val="8"/>
          <c:tx>
            <c:strRef>
              <c:f>'Summary SDQs Periods 1-6'!$B$14</c:f>
              <c:strCache>
                <c:ptCount val="1"/>
              </c:strCache>
            </c:strRef>
          </c:tx>
          <c:spPr>
            <a:solidFill>
              <a:schemeClr val="accent3">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1-6'!$C$14:$Z$14</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xmlns:c15="http://schemas.microsoft.com/office/drawing/2012/chart">
            <c:ext xmlns:c16="http://schemas.microsoft.com/office/drawing/2014/chart" uri="{C3380CC4-5D6E-409C-BE32-E72D297353CC}">
              <c16:uniqueId val="{00000008-853F-467B-8BD8-220A6694AFEA}"/>
            </c:ext>
          </c:extLst>
        </c:ser>
        <c:ser>
          <c:idx val="9"/>
          <c:order val="9"/>
          <c:tx>
            <c:strRef>
              <c:f>'Summary SDQs Periods 1-6'!$B$15</c:f>
              <c:strCache>
                <c:ptCount val="1"/>
                <c:pt idx="0">
                  <c:v>Pro Social</c:v>
                </c:pt>
              </c:strCache>
            </c:strRef>
          </c:tx>
          <c:spPr>
            <a:solidFill>
              <a:schemeClr val="accent4">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1-6'!$C$15:$Z$15</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9-853F-467B-8BD8-220A6694AFEA}"/>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1-9'!$B$6</c:f>
              <c:strCache>
                <c:ptCount val="1"/>
                <c:pt idx="0">
                  <c:v>Emotional</c:v>
                </c:pt>
              </c:strCache>
            </c:strRef>
          </c:tx>
          <c:spPr>
            <a:solidFill>
              <a:schemeClr val="accent1"/>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1-9'!$C$6:$AL$6</c:f>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64FA-4F0C-999A-B28B285E3557}"/>
            </c:ext>
          </c:extLst>
        </c:ser>
        <c:ser>
          <c:idx val="1"/>
          <c:order val="1"/>
          <c:tx>
            <c:strRef>
              <c:f>'Summary SDQs Periods 1-9'!$B$7</c:f>
              <c:strCache>
                <c:ptCount val="1"/>
                <c:pt idx="0">
                  <c:v>Peer</c:v>
                </c:pt>
              </c:strCache>
            </c:strRef>
          </c:tx>
          <c:spPr>
            <a:solidFill>
              <a:schemeClr val="accent2"/>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1-9'!$C$7:$AL$7</c:f>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4FA-4F0C-999A-B28B285E3557}"/>
            </c:ext>
          </c:extLst>
        </c:ser>
        <c:ser>
          <c:idx val="2"/>
          <c:order val="2"/>
          <c:tx>
            <c:strRef>
              <c:f>'Summary SDQs Periods 1-9'!$B$8</c:f>
              <c:strCache>
                <c:ptCount val="1"/>
                <c:pt idx="0">
                  <c:v>Conduct</c:v>
                </c:pt>
              </c:strCache>
            </c:strRef>
          </c:tx>
          <c:spPr>
            <a:solidFill>
              <a:schemeClr val="accent3"/>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1-9'!$C$8:$AL$8</c:f>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2-64FA-4F0C-999A-B28B285E3557}"/>
            </c:ext>
          </c:extLst>
        </c:ser>
        <c:ser>
          <c:idx val="3"/>
          <c:order val="3"/>
          <c:tx>
            <c:strRef>
              <c:f>'Summary SDQs Periods 1-9'!$B$9</c:f>
              <c:strCache>
                <c:ptCount val="1"/>
                <c:pt idx="0">
                  <c:v>HyperActivity</c:v>
                </c:pt>
              </c:strCache>
            </c:strRef>
          </c:tx>
          <c:spPr>
            <a:solidFill>
              <a:schemeClr val="accent4"/>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1-9'!$C$9:$AL$9</c:f>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3-64FA-4F0C-999A-B28B285E3557}"/>
            </c:ext>
          </c:extLst>
        </c:ser>
        <c:ser>
          <c:idx val="4"/>
          <c:order val="4"/>
          <c:tx>
            <c:strRef>
              <c:f>'Summary SDQs Periods 1-9'!$B$10</c:f>
              <c:strCache>
                <c:ptCount val="1"/>
                <c:pt idx="0">
                  <c:v>Total Difficulties</c:v>
                </c:pt>
              </c:strCache>
            </c:strRef>
          </c:tx>
          <c:spPr>
            <a:solidFill>
              <a:schemeClr val="accent5"/>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1-9'!$C$10:$AL$10</c:f>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4-64FA-4F0C-999A-B28B285E3557}"/>
            </c:ext>
          </c:extLst>
        </c:ser>
        <c:ser>
          <c:idx val="5"/>
          <c:order val="5"/>
          <c:tx>
            <c:strRef>
              <c:f>'Summary SDQs Periods 1-9'!$B$11</c:f>
              <c:strCache>
                <c:ptCount val="1"/>
                <c:pt idx="0">
                  <c:v>SubTotal Internalising</c:v>
                </c:pt>
              </c:strCache>
            </c:strRef>
          </c:tx>
          <c:spPr>
            <a:solidFill>
              <a:schemeClr val="accent6"/>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1-9'!$C$11:$AL$11</c:f>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5-64FA-4F0C-999A-B28B285E3557}"/>
            </c:ext>
          </c:extLst>
        </c:ser>
        <c:ser>
          <c:idx val="6"/>
          <c:order val="6"/>
          <c:tx>
            <c:strRef>
              <c:f>'Summary SDQs Periods 1-9'!$B$12</c:f>
              <c:strCache>
                <c:ptCount val="1"/>
                <c:pt idx="0">
                  <c:v>Sub Total Externalising</c:v>
                </c:pt>
              </c:strCache>
            </c:strRef>
          </c:tx>
          <c:spPr>
            <a:solidFill>
              <a:schemeClr val="accent1">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1-9'!$C$12:$AL$12</c:f>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6-64FA-4F0C-999A-B28B285E3557}"/>
            </c:ext>
          </c:extLst>
        </c:ser>
        <c:ser>
          <c:idx val="7"/>
          <c:order val="7"/>
          <c:tx>
            <c:strRef>
              <c:f>'Summary SDQs Periods 1-9'!$B$13</c:f>
              <c:strCache>
                <c:ptCount val="1"/>
                <c:pt idx="0">
                  <c:v>Impact</c:v>
                </c:pt>
              </c:strCache>
            </c:strRef>
          </c:tx>
          <c:spPr>
            <a:solidFill>
              <a:schemeClr val="accent2">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1-9'!$C$13:$AL$13</c:f>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7-64FA-4F0C-999A-B28B285E3557}"/>
            </c:ext>
          </c:extLst>
        </c:ser>
        <c:ser>
          <c:idx val="9"/>
          <c:order val="9"/>
          <c:tx>
            <c:strRef>
              <c:f>'Summary SDQs Periods 1-9'!$B$15</c:f>
              <c:strCache>
                <c:ptCount val="1"/>
                <c:pt idx="0">
                  <c:v>Pro Social</c:v>
                </c:pt>
              </c:strCache>
            </c:strRef>
          </c:tx>
          <c:spPr>
            <a:solidFill>
              <a:schemeClr val="accent4">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1-9'!$C$15:$AL$15</c:f>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D6B-47F1-926C-B410B45C3106}"/>
            </c:ext>
          </c:extLst>
        </c:ser>
        <c:dLbls>
          <c:showLegendKey val="0"/>
          <c:showVal val="0"/>
          <c:showCatName val="0"/>
          <c:showSerName val="0"/>
          <c:showPercent val="0"/>
          <c:showBubbleSize val="0"/>
        </c:dLbls>
        <c:gapWidth val="182"/>
        <c:axId val="833934592"/>
        <c:axId val="833948512"/>
        <c:extLst>
          <c:ext xmlns:c15="http://schemas.microsoft.com/office/drawing/2012/chart" uri="{02D57815-91ED-43cb-92C2-25804820EDAC}">
            <c15:filteredBarSeries>
              <c15:ser>
                <c:idx val="8"/>
                <c:order val="8"/>
                <c:tx>
                  <c:strRef>
                    <c:extLst>
                      <c:ext uri="{02D57815-91ED-43cb-92C2-25804820EDAC}">
                        <c15:formulaRef>
                          <c15:sqref>'Summary SDQs Periods 1-9'!$B$14</c15:sqref>
                        </c15:formulaRef>
                      </c:ext>
                    </c:extLst>
                    <c:strCache>
                      <c:ptCount val="1"/>
                    </c:strCache>
                  </c:strRef>
                </c:tx>
                <c:spPr>
                  <a:solidFill>
                    <a:schemeClr val="accent3">
                      <a:lumMod val="60000"/>
                    </a:schemeClr>
                  </a:solidFill>
                  <a:ln>
                    <a:noFill/>
                  </a:ln>
                  <a:effectLst/>
                </c:spPr>
                <c:invertIfNegative val="0"/>
                <c:cat>
                  <c:multiLvlStrRef>
                    <c:extLst>
                      <c:ext uri="{02D57815-91ED-43cb-92C2-25804820EDAC}">
                        <c15:formulaRef>
                          <c15:sqref>'Summary SDQs Periods 1-9'!$C$4:$AL$5</c15:sqref>
                        </c15:formulaRef>
                      </c:ext>
                    </c:extLst>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extLst>
                      <c:ext uri="{02D57815-91ED-43cb-92C2-25804820EDAC}">
                        <c15:formulaRef>
                          <c15:sqref>'Summary SDQs Periods 1-9'!$C$14:$AL$14</c15:sqref>
                        </c15:formulaRef>
                      </c:ext>
                    </c:extLst>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8-64FA-4F0C-999A-B28B285E3557}"/>
                  </c:ext>
                </c:extLst>
              </c15:ser>
            </c15:filteredBarSeries>
          </c:ext>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65278343-5ED9-456D-B55F-7E09B21E1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7D48CE9C-5321-4048-A65F-EFB16C3E4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D653FE32-1E28-4E49-A0C2-4BC6E19D8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4.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F4D07BBC-BCE7-4AC0-818D-CFFDD8DA7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28418EDE-8116-40AD-A4E8-044C51D22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6.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52AFA023-CA15-482E-A647-BAA464015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7.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8967E2CB-9D82-4254-B8CF-744233FB0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8.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92E34FCF-14E2-4A81-85DD-8EE4D2209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9.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E6670107-E716-41F9-B496-9AF3D336F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10.xml><?xml version="1.0" encoding="utf-8"?>
<xdr:wsDr xmlns:xdr="http://schemas.openxmlformats.org/drawingml/2006/spreadsheetDrawing" xmlns:a="http://schemas.openxmlformats.org/drawingml/2006/main">
  <xdr:twoCellAnchor>
    <xdr:from>
      <xdr:col>3</xdr:col>
      <xdr:colOff>571499</xdr:colOff>
      <xdr:row>17</xdr:row>
      <xdr:rowOff>171450</xdr:rowOff>
    </xdr:from>
    <xdr:to>
      <xdr:col>9</xdr:col>
      <xdr:colOff>180974</xdr:colOff>
      <xdr:row>36</xdr:row>
      <xdr:rowOff>123825</xdr:rowOff>
    </xdr:to>
    <xdr:graphicFrame macro="">
      <xdr:nvGraphicFramePr>
        <xdr:cNvPr id="2" name="Chart 1">
          <a:extLst>
            <a:ext uri="{FF2B5EF4-FFF2-40B4-BE49-F238E27FC236}">
              <a16:creationId xmlns:a16="http://schemas.microsoft.com/office/drawing/2014/main" id="{F2C1405D-298C-40C4-9BE3-CB4CD3CD5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1323975</xdr:colOff>
      <xdr:row>17</xdr:row>
      <xdr:rowOff>171450</xdr:rowOff>
    </xdr:from>
    <xdr:to>
      <xdr:col>15</xdr:col>
      <xdr:colOff>180974</xdr:colOff>
      <xdr:row>44</xdr:row>
      <xdr:rowOff>47625</xdr:rowOff>
    </xdr:to>
    <xdr:graphicFrame macro="">
      <xdr:nvGraphicFramePr>
        <xdr:cNvPr id="2" name="Chart 1">
          <a:extLst>
            <a:ext uri="{FF2B5EF4-FFF2-40B4-BE49-F238E27FC236}">
              <a16:creationId xmlns:a16="http://schemas.microsoft.com/office/drawing/2014/main" id="{691BF883-AE40-470E-81DB-E447C0BC2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1228725</xdr:colOff>
      <xdr:row>17</xdr:row>
      <xdr:rowOff>171450</xdr:rowOff>
    </xdr:from>
    <xdr:to>
      <xdr:col>21</xdr:col>
      <xdr:colOff>180974</xdr:colOff>
      <xdr:row>52</xdr:row>
      <xdr:rowOff>0</xdr:rowOff>
    </xdr:to>
    <xdr:graphicFrame macro="">
      <xdr:nvGraphicFramePr>
        <xdr:cNvPr id="2" name="Chart 1">
          <a:extLst>
            <a:ext uri="{FF2B5EF4-FFF2-40B4-BE49-F238E27FC236}">
              <a16:creationId xmlns:a16="http://schemas.microsoft.com/office/drawing/2014/main" id="{5A6C0A6E-0CD8-43A4-B56B-965BBBE8C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externalLinkPath" Target="https://d.docs.live.net/78c4d133a3161784/Documents/2025%20EC/Every%20Cloud/Database/AMENDED%20SDQ%20queries.xlsx"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5.bin"/><Relationship Id="rId1" Type="http://schemas.openxmlformats.org/officeDocument/2006/relationships/externalLinkPath" Target="https://d.docs.live.net/78c4d133a3161784/Documents/2025%20EC/Every%20Cloud/Database/AMENDED%20SDQ%20queries.xlsx"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6.bin"/><Relationship Id="rId1" Type="http://schemas.openxmlformats.org/officeDocument/2006/relationships/externalLinkPath" Target="https://d.docs.live.net/78c4d133a3161784/Documents/2025%20EC/Every%20Cloud/Database/AMENDED%20SDQ%20queries.xlsx"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0C6C7-0966-46CE-8CD2-AD280C46E80C}">
  <sheetPr>
    <pageSetUpPr fitToPage="1"/>
  </sheetPr>
  <dimension ref="B1:Q26"/>
  <sheetViews>
    <sheetView showGridLines="0" zoomScaleNormal="100" workbookViewId="0"/>
  </sheetViews>
  <sheetFormatPr baseColWidth="10" defaultColWidth="8.83203125" defaultRowHeight="15" x14ac:dyDescent="0.2"/>
  <cols>
    <col min="5" max="5" width="18.6640625" customWidth="1"/>
    <col min="6" max="6" width="21.33203125" customWidth="1"/>
    <col min="17" max="17" width="14" customWidth="1"/>
  </cols>
  <sheetData>
    <row r="1" spans="2:17" ht="16" thickBot="1" x14ac:dyDescent="0.25"/>
    <row r="2" spans="2:17" x14ac:dyDescent="0.2">
      <c r="B2" s="9"/>
      <c r="C2" s="10" t="s">
        <v>98</v>
      </c>
      <c r="D2" s="11"/>
      <c r="E2" s="11"/>
      <c r="F2" s="11"/>
      <c r="G2" s="11"/>
      <c r="H2" s="11"/>
      <c r="I2" s="11"/>
      <c r="J2" s="11"/>
      <c r="K2" s="11"/>
      <c r="L2" s="11"/>
      <c r="M2" s="11"/>
      <c r="N2" s="11"/>
      <c r="O2" s="11"/>
      <c r="P2" s="11"/>
      <c r="Q2" s="12"/>
    </row>
    <row r="3" spans="2:17" ht="7.5" customHeight="1" x14ac:dyDescent="0.2">
      <c r="B3" s="4"/>
      <c r="Q3" s="5"/>
    </row>
    <row r="4" spans="2:17" x14ac:dyDescent="0.2">
      <c r="B4" s="4"/>
      <c r="C4">
        <v>1</v>
      </c>
      <c r="D4" t="s">
        <v>183</v>
      </c>
      <c r="Q4" s="5"/>
    </row>
    <row r="5" spans="2:17" x14ac:dyDescent="0.2">
      <c r="B5" s="4"/>
      <c r="C5">
        <v>2</v>
      </c>
      <c r="D5" t="s">
        <v>127</v>
      </c>
      <c r="Q5" s="5"/>
    </row>
    <row r="6" spans="2:17" x14ac:dyDescent="0.2">
      <c r="B6" s="4"/>
      <c r="C6">
        <v>3</v>
      </c>
      <c r="D6" t="s">
        <v>94</v>
      </c>
      <c r="Q6" s="5"/>
    </row>
    <row r="7" spans="2:17" x14ac:dyDescent="0.2">
      <c r="B7" s="4"/>
      <c r="E7" t="s">
        <v>95</v>
      </c>
      <c r="Q7" s="5"/>
    </row>
    <row r="8" spans="2:17" x14ac:dyDescent="0.2">
      <c r="B8" s="4"/>
      <c r="F8" t="s">
        <v>89</v>
      </c>
      <c r="G8" t="s">
        <v>99</v>
      </c>
      <c r="Q8" s="5"/>
    </row>
    <row r="9" spans="2:17" x14ac:dyDescent="0.2">
      <c r="B9" s="4"/>
      <c r="F9" t="s">
        <v>109</v>
      </c>
      <c r="G9" t="s">
        <v>129</v>
      </c>
      <c r="Q9" s="5"/>
    </row>
    <row r="10" spans="2:17" x14ac:dyDescent="0.2">
      <c r="B10" s="4"/>
      <c r="F10" t="s">
        <v>108</v>
      </c>
      <c r="G10" t="s">
        <v>110</v>
      </c>
      <c r="Q10" s="5"/>
    </row>
    <row r="11" spans="2:17" x14ac:dyDescent="0.2">
      <c r="B11" s="4"/>
      <c r="C11">
        <v>4</v>
      </c>
      <c r="D11" t="s">
        <v>168</v>
      </c>
      <c r="Q11" s="5"/>
    </row>
    <row r="12" spans="2:17" x14ac:dyDescent="0.2">
      <c r="B12" s="4"/>
      <c r="F12" t="s">
        <v>172</v>
      </c>
      <c r="Q12" s="5"/>
    </row>
    <row r="13" spans="2:17" x14ac:dyDescent="0.2">
      <c r="B13" s="4"/>
      <c r="F13" t="s">
        <v>171</v>
      </c>
      <c r="Q13" s="5"/>
    </row>
    <row r="14" spans="2:17" x14ac:dyDescent="0.2">
      <c r="B14" s="4"/>
      <c r="Q14" s="5"/>
    </row>
    <row r="15" spans="2:17" x14ac:dyDescent="0.2">
      <c r="B15" s="4"/>
      <c r="C15">
        <v>5</v>
      </c>
      <c r="D15" t="s">
        <v>169</v>
      </c>
      <c r="F15" s="176" t="s">
        <v>154</v>
      </c>
      <c r="G15" s="176"/>
      <c r="H15" s="176"/>
      <c r="I15" s="176"/>
      <c r="J15" s="176"/>
      <c r="K15" s="176"/>
      <c r="L15" s="176"/>
      <c r="M15" s="176"/>
      <c r="N15" s="176"/>
      <c r="O15" s="176"/>
      <c r="P15" s="176"/>
      <c r="Q15" s="5"/>
    </row>
    <row r="16" spans="2:17" ht="15" customHeight="1" x14ac:dyDescent="0.2">
      <c r="B16" s="4"/>
      <c r="F16" s="17" t="s">
        <v>155</v>
      </c>
      <c r="G16" s="17"/>
      <c r="H16" s="17"/>
      <c r="I16" s="17"/>
      <c r="J16" s="17"/>
      <c r="K16" s="17"/>
      <c r="L16" s="17"/>
      <c r="M16" s="17"/>
      <c r="N16" s="17"/>
      <c r="O16" s="17"/>
      <c r="P16" s="17"/>
      <c r="Q16" s="5"/>
    </row>
    <row r="17" spans="2:17" ht="15" customHeight="1" x14ac:dyDescent="0.2">
      <c r="B17" s="4"/>
      <c r="F17" t="s">
        <v>128</v>
      </c>
      <c r="Q17" s="5"/>
    </row>
    <row r="18" spans="2:17" ht="8.25" customHeight="1" x14ac:dyDescent="0.2">
      <c r="B18" s="4"/>
      <c r="Q18" s="5"/>
    </row>
    <row r="19" spans="2:17" x14ac:dyDescent="0.2">
      <c r="B19" s="4"/>
      <c r="C19" s="1" t="s">
        <v>100</v>
      </c>
      <c r="Q19" s="5"/>
    </row>
    <row r="20" spans="2:17" ht="16" thickBot="1" x14ac:dyDescent="0.25">
      <c r="B20" s="4"/>
      <c r="Q20" s="5"/>
    </row>
    <row r="21" spans="2:17" ht="16" thickBot="1" x14ac:dyDescent="0.25">
      <c r="B21" s="4"/>
      <c r="E21" s="15"/>
      <c r="F21" t="s">
        <v>96</v>
      </c>
      <c r="Q21" s="5"/>
    </row>
    <row r="22" spans="2:17" ht="16" thickBot="1" x14ac:dyDescent="0.25">
      <c r="B22" s="4"/>
      <c r="Q22" s="5"/>
    </row>
    <row r="23" spans="2:17" ht="16" thickBot="1" x14ac:dyDescent="0.25">
      <c r="B23" s="4"/>
      <c r="E23" s="14"/>
      <c r="F23" t="s">
        <v>97</v>
      </c>
      <c r="Q23" s="5"/>
    </row>
    <row r="24" spans="2:17" ht="16" thickBot="1" x14ac:dyDescent="0.25">
      <c r="B24" s="4"/>
      <c r="Q24" s="5"/>
    </row>
    <row r="25" spans="2:17" ht="16" thickBot="1" x14ac:dyDescent="0.25">
      <c r="B25" s="4"/>
      <c r="E25" s="80"/>
      <c r="F25" t="s">
        <v>135</v>
      </c>
      <c r="Q25" s="5"/>
    </row>
    <row r="26" spans="2:17" ht="16" thickBot="1" x14ac:dyDescent="0.25">
      <c r="B26" s="6"/>
      <c r="C26" s="13"/>
      <c r="D26" s="13"/>
      <c r="E26" s="13"/>
      <c r="F26" s="13"/>
      <c r="G26" s="13"/>
      <c r="H26" s="13"/>
      <c r="I26" s="13"/>
      <c r="J26" s="13"/>
      <c r="K26" s="13"/>
      <c r="L26" s="13"/>
      <c r="M26" s="13"/>
      <c r="N26" s="13"/>
      <c r="O26" s="13"/>
      <c r="P26" s="13"/>
      <c r="Q26" s="7"/>
    </row>
  </sheetData>
  <mergeCells count="1">
    <mergeCell ref="F15:P15"/>
  </mergeCells>
  <pageMargins left="0.7" right="0.7" top="0.75" bottom="0.75" header="0.3" footer="0.3"/>
  <pageSetup scale="6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77095-140B-4675-9DFD-DA43E7E9EC95}">
  <sheetPr>
    <pageSetUpPr fitToPage="1"/>
  </sheetPr>
  <dimension ref="B3:K17"/>
  <sheetViews>
    <sheetView showGridLines="0" workbookViewId="0">
      <selection activeCell="B2" sqref="B2"/>
    </sheetView>
  </sheetViews>
  <sheetFormatPr baseColWidth="10" defaultColWidth="8.83203125" defaultRowHeight="15" x14ac:dyDescent="0.2"/>
  <cols>
    <col min="6" max="6" width="68.6640625" customWidth="1"/>
  </cols>
  <sheetData>
    <row r="3" spans="2:11" ht="16" thickBot="1" x14ac:dyDescent="0.25"/>
    <row r="4" spans="2:11" x14ac:dyDescent="0.2">
      <c r="B4" s="9"/>
      <c r="C4" s="11"/>
      <c r="D4" s="11"/>
      <c r="E4" s="11"/>
      <c r="F4" s="11"/>
      <c r="G4" s="11"/>
      <c r="H4" s="11"/>
      <c r="I4" s="11"/>
      <c r="J4" s="11"/>
      <c r="K4" s="12"/>
    </row>
    <row r="5" spans="2:11" x14ac:dyDescent="0.2">
      <c r="B5" s="4"/>
      <c r="C5" s="1" t="s">
        <v>100</v>
      </c>
      <c r="K5" s="5"/>
    </row>
    <row r="6" spans="2:11" ht="16" thickBot="1" x14ac:dyDescent="0.25">
      <c r="B6" s="4"/>
      <c r="K6" s="5"/>
    </row>
    <row r="7" spans="2:11" ht="16" thickBot="1" x14ac:dyDescent="0.25">
      <c r="B7" s="4"/>
      <c r="E7" s="15"/>
      <c r="F7" t="s">
        <v>96</v>
      </c>
      <c r="K7" s="5"/>
    </row>
    <row r="8" spans="2:11" ht="16" thickBot="1" x14ac:dyDescent="0.25">
      <c r="B8" s="4"/>
      <c r="K8" s="5"/>
    </row>
    <row r="9" spans="2:11" ht="16" thickBot="1" x14ac:dyDescent="0.25">
      <c r="B9" s="4"/>
      <c r="E9" s="14"/>
      <c r="F9" t="s">
        <v>113</v>
      </c>
      <c r="K9" s="5"/>
    </row>
    <row r="10" spans="2:11" ht="16" thickBot="1" x14ac:dyDescent="0.25">
      <c r="B10" s="4"/>
      <c r="K10" s="5"/>
    </row>
    <row r="11" spans="2:11" ht="16" thickBot="1" x14ac:dyDescent="0.25">
      <c r="B11" s="4"/>
      <c r="E11" s="80"/>
      <c r="F11" t="s">
        <v>135</v>
      </c>
      <c r="K11" s="5"/>
    </row>
    <row r="12" spans="2:11" x14ac:dyDescent="0.2">
      <c r="B12" s="4"/>
      <c r="K12" s="5"/>
    </row>
    <row r="13" spans="2:11" x14ac:dyDescent="0.2">
      <c r="B13" s="4"/>
      <c r="C13" s="1" t="s">
        <v>101</v>
      </c>
      <c r="K13" s="5"/>
    </row>
    <row r="14" spans="2:11" x14ac:dyDescent="0.2">
      <c r="B14" s="4"/>
      <c r="E14" t="s">
        <v>114</v>
      </c>
      <c r="K14" s="5"/>
    </row>
    <row r="15" spans="2:11" x14ac:dyDescent="0.2">
      <c r="B15" s="4"/>
      <c r="E15" t="s">
        <v>121</v>
      </c>
      <c r="K15" s="5"/>
    </row>
    <row r="16" spans="2:11" x14ac:dyDescent="0.2">
      <c r="B16" s="4"/>
      <c r="E16" t="s">
        <v>122</v>
      </c>
      <c r="K16" s="5"/>
    </row>
    <row r="17" spans="2:11" ht="16" thickBot="1" x14ac:dyDescent="0.25">
      <c r="B17" s="6"/>
      <c r="C17" s="13"/>
      <c r="D17" s="13"/>
      <c r="E17" s="13"/>
      <c r="F17" s="13"/>
      <c r="G17" s="13"/>
      <c r="H17" s="13"/>
      <c r="I17" s="13"/>
      <c r="J17" s="13"/>
      <c r="K17" s="7"/>
    </row>
  </sheetData>
  <pageMargins left="0.7" right="0.7" top="0.75" bottom="0.75" header="0.3" footer="0.3"/>
  <pageSetup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78"/>
  <sheetViews>
    <sheetView showGridLines="0" tabSelected="1" topLeftCell="N1" zoomScale="115" zoomScaleNormal="115" workbookViewId="0">
      <selection activeCell="Y10" sqref="Y10"/>
    </sheetView>
  </sheetViews>
  <sheetFormatPr baseColWidth="10" defaultColWidth="8.83203125" defaultRowHeight="15" x14ac:dyDescent="0.2"/>
  <cols>
    <col min="1" max="1" width="17.1640625" customWidth="1"/>
    <col min="2" max="2" width="12.1640625" bestFit="1" customWidth="1"/>
    <col min="3" max="4" width="12.1640625" customWidth="1"/>
    <col min="6" max="6" width="16.33203125" customWidth="1"/>
    <col min="7" max="7" width="15.33203125" bestFit="1" customWidth="1"/>
    <col min="8" max="8" width="14.1640625" bestFit="1" customWidth="1"/>
    <col min="9" max="11" width="14.1640625" customWidth="1"/>
    <col min="12" max="12" width="15.5" bestFit="1" customWidth="1"/>
    <col min="13" max="13" width="17" bestFit="1" customWidth="1"/>
    <col min="14" max="14" width="17.1640625" customWidth="1"/>
    <col min="15" max="15" width="20.1640625" customWidth="1"/>
    <col min="16" max="16" width="17.33203125" customWidth="1"/>
    <col min="17" max="19" width="12.1640625" customWidth="1"/>
    <col min="20" max="20" width="14.6640625" customWidth="1"/>
    <col min="21" max="23" width="12.1640625" customWidth="1"/>
    <col min="24" max="24" width="14.5" customWidth="1"/>
    <col min="25" max="26" width="12.1640625" customWidth="1"/>
    <col min="27" max="27" width="14.5" bestFit="1" customWidth="1"/>
    <col min="28" max="28" width="10.5" customWidth="1"/>
    <col min="29" max="29" width="10.6640625" customWidth="1"/>
    <col min="30" max="30" width="12.33203125" customWidth="1"/>
  </cols>
  <sheetData>
    <row r="1" spans="1:30" s="2" customFormat="1" ht="48" x14ac:dyDescent="0.2">
      <c r="B1" s="145" t="s">
        <v>0</v>
      </c>
      <c r="C1" s="145" t="s">
        <v>86</v>
      </c>
      <c r="D1" s="145" t="s">
        <v>173</v>
      </c>
      <c r="E1" s="145" t="s">
        <v>1</v>
      </c>
      <c r="F1" s="145" t="s">
        <v>106</v>
      </c>
      <c r="G1" s="145" t="s">
        <v>87</v>
      </c>
      <c r="H1" s="145" t="s">
        <v>88</v>
      </c>
      <c r="I1" s="145" t="s">
        <v>211</v>
      </c>
      <c r="J1" s="145" t="s">
        <v>211</v>
      </c>
      <c r="K1" s="145" t="s">
        <v>211</v>
      </c>
      <c r="L1" s="145" t="s">
        <v>105</v>
      </c>
      <c r="M1" s="145" t="s">
        <v>90</v>
      </c>
      <c r="N1" s="145" t="s">
        <v>209</v>
      </c>
      <c r="O1" s="145" t="s">
        <v>209</v>
      </c>
      <c r="P1" s="145" t="s">
        <v>209</v>
      </c>
      <c r="Q1" s="145" t="s">
        <v>93</v>
      </c>
      <c r="R1" s="177" t="s">
        <v>212</v>
      </c>
      <c r="S1" s="177"/>
      <c r="T1" s="177"/>
      <c r="U1" s="177"/>
      <c r="V1" s="177"/>
      <c r="W1" s="177"/>
      <c r="X1" s="177"/>
      <c r="Y1" s="177"/>
      <c r="Z1" s="177"/>
      <c r="AA1" s="146" t="s">
        <v>103</v>
      </c>
      <c r="AB1" s="145" t="s">
        <v>213</v>
      </c>
      <c r="AC1" s="145" t="s">
        <v>213</v>
      </c>
      <c r="AD1" s="145" t="s">
        <v>213</v>
      </c>
    </row>
    <row r="2" spans="1:30" s="2" customFormat="1" ht="46.25" customHeight="1" thickBot="1" x14ac:dyDescent="0.25">
      <c r="B2" s="145"/>
      <c r="C2" s="145"/>
      <c r="D2" s="145"/>
      <c r="E2" s="145"/>
      <c r="F2" s="145"/>
      <c r="G2" s="145"/>
      <c r="H2" s="145"/>
      <c r="I2" s="145"/>
      <c r="J2" s="145"/>
      <c r="K2" s="145"/>
      <c r="L2" s="145"/>
      <c r="M2" s="145"/>
      <c r="N2" s="145"/>
      <c r="O2" s="145"/>
      <c r="P2" s="145"/>
      <c r="Q2" s="145"/>
      <c r="R2" s="145" t="s">
        <v>233</v>
      </c>
      <c r="S2" s="145" t="s">
        <v>234</v>
      </c>
      <c r="T2" s="145" t="s">
        <v>235</v>
      </c>
      <c r="U2" s="145" t="s">
        <v>236</v>
      </c>
      <c r="V2" s="145" t="s">
        <v>237</v>
      </c>
      <c r="W2" s="145" t="s">
        <v>238</v>
      </c>
      <c r="X2" s="145" t="s">
        <v>239</v>
      </c>
      <c r="Y2" s="145" t="s">
        <v>240</v>
      </c>
      <c r="Z2" s="145" t="s">
        <v>241</v>
      </c>
      <c r="AA2" s="146"/>
      <c r="AB2" s="145"/>
      <c r="AC2" s="145"/>
      <c r="AD2" s="145"/>
    </row>
    <row r="3" spans="1:30" ht="16" thickBot="1" x14ac:dyDescent="0.25">
      <c r="B3" s="53">
        <v>30544</v>
      </c>
      <c r="C3" s="50" t="s">
        <v>243</v>
      </c>
      <c r="D3" s="50" t="s">
        <v>244</v>
      </c>
      <c r="E3" s="51" t="s">
        <v>255</v>
      </c>
      <c r="F3" s="50" t="s">
        <v>245</v>
      </c>
      <c r="G3" s="50" t="s">
        <v>246</v>
      </c>
      <c r="H3" s="50" t="s">
        <v>247</v>
      </c>
      <c r="I3" s="50" t="s">
        <v>248</v>
      </c>
      <c r="J3" s="50"/>
      <c r="K3" s="50" t="s">
        <v>249</v>
      </c>
      <c r="L3" s="50" t="s">
        <v>250</v>
      </c>
      <c r="M3" s="50" t="s">
        <v>251</v>
      </c>
      <c r="N3" s="50" t="s">
        <v>252</v>
      </c>
      <c r="O3" s="50" t="s">
        <v>253</v>
      </c>
      <c r="P3" s="50" t="s">
        <v>254</v>
      </c>
      <c r="Q3" s="50">
        <v>6</v>
      </c>
      <c r="R3" s="147">
        <v>4</v>
      </c>
      <c r="S3" s="147">
        <v>2</v>
      </c>
      <c r="T3" s="147"/>
      <c r="U3" s="147">
        <v>8</v>
      </c>
      <c r="V3" s="147"/>
      <c r="W3" s="147">
        <v>4</v>
      </c>
      <c r="X3" s="147"/>
      <c r="Y3" s="147"/>
      <c r="Z3" s="147">
        <v>10</v>
      </c>
      <c r="AA3" s="52"/>
      <c r="AB3" s="52"/>
      <c r="AC3" s="52"/>
      <c r="AD3" s="52"/>
    </row>
    <row r="4" spans="1:30" ht="33" thickBot="1" x14ac:dyDescent="0.25">
      <c r="A4" s="148" t="s">
        <v>214</v>
      </c>
      <c r="E4" s="3"/>
      <c r="F4" s="3"/>
      <c r="G4" s="3"/>
      <c r="H4" s="3"/>
      <c r="I4" s="3"/>
      <c r="J4" s="3"/>
      <c r="K4" s="3"/>
      <c r="M4" s="144">
        <v>3</v>
      </c>
      <c r="N4" s="144">
        <v>2</v>
      </c>
      <c r="O4" s="144">
        <v>8</v>
      </c>
      <c r="P4" s="144">
        <v>4</v>
      </c>
    </row>
    <row r="5" spans="1:30" x14ac:dyDescent="0.2">
      <c r="E5" s="1"/>
      <c r="F5" s="1"/>
      <c r="G5" s="1"/>
      <c r="H5" s="1"/>
      <c r="I5" s="1"/>
      <c r="J5" s="1"/>
      <c r="K5" s="1"/>
      <c r="L5" s="1"/>
      <c r="M5" s="1"/>
      <c r="N5" s="1"/>
      <c r="O5" s="1"/>
      <c r="P5" s="1"/>
    </row>
    <row r="6" spans="1:30" x14ac:dyDescent="0.2">
      <c r="E6" s="3"/>
      <c r="F6" s="3"/>
      <c r="G6" s="3"/>
      <c r="H6" s="3"/>
      <c r="I6" s="3"/>
      <c r="J6" s="3"/>
      <c r="K6" s="3"/>
    </row>
    <row r="7" spans="1:30" ht="16" x14ac:dyDescent="0.2">
      <c r="E7" s="3"/>
      <c r="F7" s="3"/>
      <c r="G7" s="3"/>
      <c r="H7" s="16"/>
      <c r="I7" s="16"/>
      <c r="J7" s="16"/>
      <c r="K7" s="16"/>
      <c r="L7" s="1"/>
      <c r="M7" s="1"/>
      <c r="N7" s="1"/>
      <c r="O7" s="1"/>
      <c r="P7" s="1"/>
    </row>
    <row r="8" spans="1:30" x14ac:dyDescent="0.2">
      <c r="E8" s="3"/>
      <c r="F8" s="3"/>
      <c r="G8" s="3"/>
      <c r="H8" s="3"/>
      <c r="I8" s="3"/>
      <c r="J8" s="3"/>
      <c r="K8" s="3"/>
    </row>
    <row r="9" spans="1:30" x14ac:dyDescent="0.2">
      <c r="E9" s="3"/>
      <c r="F9" s="3"/>
      <c r="G9" s="3"/>
      <c r="H9" s="3"/>
      <c r="I9" s="3"/>
      <c r="J9" s="3"/>
      <c r="K9" s="3"/>
      <c r="L9" s="1"/>
      <c r="M9" s="1"/>
      <c r="N9" s="1"/>
      <c r="O9" s="1"/>
      <c r="P9" s="1"/>
    </row>
    <row r="10" spans="1:30" x14ac:dyDescent="0.2">
      <c r="E10" s="3"/>
      <c r="F10" s="3"/>
      <c r="G10" s="3"/>
      <c r="H10" s="3"/>
      <c r="I10" s="3"/>
      <c r="J10" s="3"/>
      <c r="K10" s="3"/>
    </row>
    <row r="11" spans="1:30" x14ac:dyDescent="0.2">
      <c r="E11" s="3"/>
      <c r="F11" s="3"/>
      <c r="G11" s="3"/>
      <c r="H11" s="3"/>
      <c r="I11" s="3"/>
      <c r="J11" s="3"/>
      <c r="K11" s="3"/>
      <c r="L11" s="1"/>
      <c r="M11" s="1"/>
      <c r="N11" s="1"/>
      <c r="O11" s="1"/>
      <c r="P11" s="1"/>
    </row>
    <row r="12" spans="1:30" x14ac:dyDescent="0.2">
      <c r="E12" s="3"/>
      <c r="F12" s="3"/>
      <c r="G12" s="3"/>
      <c r="H12" s="3"/>
      <c r="I12" s="3"/>
      <c r="J12" s="3"/>
      <c r="K12" s="3"/>
    </row>
    <row r="13" spans="1:30" x14ac:dyDescent="0.2">
      <c r="E13" s="3"/>
      <c r="F13" s="3"/>
      <c r="G13" s="3"/>
      <c r="H13" s="3"/>
      <c r="I13" s="3"/>
      <c r="J13" s="3"/>
      <c r="K13" s="3"/>
      <c r="L13" s="1"/>
      <c r="M13" s="1"/>
      <c r="N13" s="1"/>
      <c r="O13" s="1"/>
      <c r="P13" s="1"/>
    </row>
    <row r="14" spans="1:30" x14ac:dyDescent="0.2">
      <c r="E14" s="3"/>
      <c r="F14" s="3"/>
      <c r="G14" s="3"/>
      <c r="H14" s="3"/>
      <c r="I14" s="3"/>
      <c r="J14" s="3"/>
      <c r="K14" s="3"/>
    </row>
    <row r="15" spans="1:30" x14ac:dyDescent="0.2">
      <c r="E15" s="3"/>
      <c r="F15" s="3"/>
      <c r="G15" s="3"/>
      <c r="H15" s="3"/>
      <c r="I15" s="3"/>
      <c r="J15" s="3"/>
      <c r="K15" s="3"/>
      <c r="L15" s="1"/>
      <c r="M15" s="1"/>
      <c r="N15" s="1"/>
      <c r="O15" s="1"/>
      <c r="P15" s="1"/>
    </row>
    <row r="16" spans="1:30" x14ac:dyDescent="0.2">
      <c r="E16" s="3"/>
      <c r="F16" s="3"/>
      <c r="G16" s="3"/>
      <c r="H16" s="3"/>
      <c r="I16" s="3"/>
      <c r="J16" s="3"/>
      <c r="K16" s="3"/>
    </row>
    <row r="17" spans="5:11" x14ac:dyDescent="0.2">
      <c r="E17" s="3"/>
      <c r="F17" s="3"/>
      <c r="G17" s="3"/>
      <c r="H17" s="3"/>
      <c r="I17" s="3"/>
      <c r="J17" s="3"/>
      <c r="K17" s="3"/>
    </row>
    <row r="18" spans="5:11" x14ac:dyDescent="0.2">
      <c r="E18" s="3"/>
      <c r="F18" s="3"/>
      <c r="G18" s="3"/>
      <c r="H18" s="3"/>
      <c r="I18" s="3"/>
      <c r="J18" s="3"/>
      <c r="K18" s="3"/>
    </row>
    <row r="19" spans="5:11" x14ac:dyDescent="0.2">
      <c r="E19" s="3"/>
      <c r="F19" s="3"/>
      <c r="G19" s="3"/>
      <c r="H19" s="3"/>
      <c r="I19" s="3"/>
      <c r="J19" s="3"/>
      <c r="K19" s="3"/>
    </row>
    <row r="20" spans="5:11" x14ac:dyDescent="0.2">
      <c r="E20" s="3"/>
      <c r="F20" s="3"/>
      <c r="G20" s="3"/>
      <c r="H20" s="3"/>
      <c r="I20" s="3"/>
      <c r="J20" s="3"/>
      <c r="K20" s="3"/>
    </row>
    <row r="21" spans="5:11" x14ac:dyDescent="0.2">
      <c r="E21" s="3"/>
      <c r="F21" s="3"/>
      <c r="G21" s="3"/>
      <c r="H21" s="3"/>
      <c r="I21" s="3"/>
      <c r="J21" s="3"/>
      <c r="K21" s="3"/>
    </row>
    <row r="22" spans="5:11" x14ac:dyDescent="0.2">
      <c r="E22" s="3"/>
      <c r="F22" s="3"/>
      <c r="G22" s="3"/>
      <c r="H22" s="3"/>
      <c r="I22" s="3"/>
      <c r="J22" s="3"/>
      <c r="K22" s="3"/>
    </row>
    <row r="23" spans="5:11" x14ac:dyDescent="0.2">
      <c r="E23" s="3"/>
      <c r="F23" s="3"/>
      <c r="G23" s="3"/>
      <c r="H23" s="3"/>
      <c r="I23" s="3"/>
      <c r="J23" s="3"/>
      <c r="K23" s="3"/>
    </row>
    <row r="24" spans="5:11" x14ac:dyDescent="0.2">
      <c r="E24" s="3"/>
      <c r="F24" s="3"/>
      <c r="G24" s="3"/>
      <c r="H24" s="3"/>
      <c r="I24" s="3"/>
      <c r="J24" s="3"/>
      <c r="K24" s="3"/>
    </row>
    <row r="25" spans="5:11" x14ac:dyDescent="0.2">
      <c r="E25" s="1"/>
      <c r="F25" s="1"/>
      <c r="G25" s="1"/>
      <c r="H25" s="1"/>
      <c r="I25" s="1"/>
      <c r="J25" s="1"/>
      <c r="K25" s="1"/>
    </row>
    <row r="28" spans="5:11" x14ac:dyDescent="0.2">
      <c r="E28" s="1"/>
      <c r="F28" s="1"/>
      <c r="G28" s="1"/>
      <c r="H28" s="1"/>
      <c r="I28" s="1"/>
      <c r="J28" s="1"/>
      <c r="K28" s="1"/>
    </row>
    <row r="29" spans="5:11" x14ac:dyDescent="0.2">
      <c r="E29" s="3"/>
      <c r="F29" s="3"/>
      <c r="G29" s="3"/>
      <c r="H29" s="3"/>
      <c r="I29" s="3"/>
      <c r="J29" s="3"/>
      <c r="K29" s="3"/>
    </row>
    <row r="30" spans="5:11" x14ac:dyDescent="0.2">
      <c r="E30" s="3"/>
      <c r="F30" s="3"/>
      <c r="G30" s="3"/>
      <c r="H30" s="3"/>
      <c r="I30" s="3"/>
      <c r="J30" s="3"/>
      <c r="K30" s="3"/>
    </row>
    <row r="31" spans="5:11" x14ac:dyDescent="0.2">
      <c r="E31" s="3"/>
      <c r="F31" s="3"/>
      <c r="G31" s="3"/>
      <c r="H31" s="3"/>
      <c r="I31" s="3"/>
      <c r="J31" s="3"/>
      <c r="K31" s="3"/>
    </row>
    <row r="32" spans="5:11" x14ac:dyDescent="0.2">
      <c r="E32" s="3"/>
      <c r="F32" s="3"/>
      <c r="G32" s="3"/>
      <c r="H32" s="3"/>
      <c r="I32" s="3"/>
      <c r="J32" s="3"/>
      <c r="K32" s="3"/>
    </row>
    <row r="33" spans="5:11" x14ac:dyDescent="0.2">
      <c r="E33" s="3"/>
      <c r="F33" s="3"/>
      <c r="G33" s="3"/>
      <c r="H33" s="3"/>
      <c r="I33" s="3"/>
      <c r="J33" s="3"/>
      <c r="K33" s="3"/>
    </row>
    <row r="34" spans="5:11" x14ac:dyDescent="0.2">
      <c r="E34" s="3"/>
      <c r="F34" s="3"/>
      <c r="G34" s="3"/>
      <c r="H34" s="3"/>
      <c r="I34" s="3"/>
      <c r="J34" s="3"/>
      <c r="K34" s="3"/>
    </row>
    <row r="36" spans="5:11" x14ac:dyDescent="0.2">
      <c r="E36" s="1"/>
      <c r="F36" s="1"/>
      <c r="G36" s="1"/>
      <c r="H36" s="1"/>
      <c r="I36" s="1"/>
      <c r="J36" s="1"/>
      <c r="K36" s="1"/>
    </row>
    <row r="37" spans="5:11" x14ac:dyDescent="0.2">
      <c r="E37" s="3"/>
      <c r="F37" s="3"/>
      <c r="G37" s="3"/>
      <c r="H37" s="3"/>
      <c r="I37" s="3"/>
      <c r="J37" s="3"/>
      <c r="K37" s="3"/>
    </row>
    <row r="38" spans="5:11" x14ac:dyDescent="0.2">
      <c r="E38" s="3"/>
      <c r="F38" s="3"/>
      <c r="G38" s="3"/>
      <c r="H38" s="3"/>
      <c r="I38" s="3"/>
      <c r="J38" s="3"/>
      <c r="K38" s="3"/>
    </row>
    <row r="39" spans="5:11" x14ac:dyDescent="0.2">
      <c r="E39" s="3"/>
      <c r="F39" s="3"/>
      <c r="G39" s="3"/>
      <c r="H39" s="3"/>
      <c r="I39" s="3"/>
      <c r="J39" s="3"/>
      <c r="K39" s="3"/>
    </row>
    <row r="40" spans="5:11" x14ac:dyDescent="0.2">
      <c r="E40" s="3"/>
      <c r="F40" s="3"/>
      <c r="G40" s="3"/>
      <c r="H40" s="3"/>
      <c r="I40" s="3"/>
      <c r="J40" s="3"/>
      <c r="K40" s="3"/>
    </row>
    <row r="41" spans="5:11" x14ac:dyDescent="0.2">
      <c r="E41" s="3"/>
      <c r="F41" s="3"/>
      <c r="G41" s="3"/>
      <c r="H41" s="3"/>
      <c r="I41" s="3"/>
      <c r="J41" s="3"/>
      <c r="K41" s="3"/>
    </row>
    <row r="42" spans="5:11" x14ac:dyDescent="0.2">
      <c r="E42" s="3"/>
      <c r="F42" s="3"/>
      <c r="G42" s="3"/>
      <c r="H42" s="3"/>
      <c r="I42" s="3"/>
      <c r="J42" s="3"/>
      <c r="K42" s="3"/>
    </row>
    <row r="43" spans="5:11" x14ac:dyDescent="0.2">
      <c r="E43" s="3"/>
      <c r="F43" s="3"/>
      <c r="G43" s="3"/>
      <c r="H43" s="3"/>
      <c r="I43" s="3"/>
      <c r="J43" s="3"/>
      <c r="K43" s="3"/>
    </row>
    <row r="44" spans="5:11" x14ac:dyDescent="0.2">
      <c r="E44" s="3"/>
      <c r="F44" s="3"/>
      <c r="G44" s="3"/>
      <c r="H44" s="3"/>
      <c r="I44" s="3"/>
      <c r="J44" s="3"/>
      <c r="K44" s="3"/>
    </row>
    <row r="45" spans="5:11" x14ac:dyDescent="0.2">
      <c r="E45" s="3"/>
      <c r="F45" s="3"/>
      <c r="G45" s="3"/>
      <c r="H45" s="3"/>
      <c r="I45" s="3"/>
      <c r="J45" s="3"/>
      <c r="K45" s="3"/>
    </row>
    <row r="46" spans="5:11" x14ac:dyDescent="0.2">
      <c r="E46" s="3"/>
      <c r="F46" s="3"/>
      <c r="G46" s="3"/>
      <c r="H46" s="3"/>
      <c r="I46" s="3"/>
      <c r="J46" s="3"/>
      <c r="K46" s="3"/>
    </row>
    <row r="47" spans="5:11" x14ac:dyDescent="0.2">
      <c r="E47" s="3"/>
      <c r="F47" s="3"/>
      <c r="G47" s="3"/>
      <c r="H47" s="3"/>
      <c r="I47" s="3"/>
      <c r="J47" s="3"/>
      <c r="K47" s="3"/>
    </row>
    <row r="48" spans="5:11" x14ac:dyDescent="0.2">
      <c r="E48" s="3"/>
      <c r="F48" s="3"/>
      <c r="G48" s="3"/>
      <c r="H48" s="3"/>
      <c r="I48" s="3"/>
      <c r="J48" s="3"/>
      <c r="K48" s="3"/>
    </row>
    <row r="49" spans="5:11" x14ac:dyDescent="0.2">
      <c r="E49" s="3"/>
      <c r="F49" s="3"/>
      <c r="G49" s="3"/>
      <c r="H49" s="3"/>
      <c r="I49" s="3"/>
      <c r="J49" s="3"/>
      <c r="K49" s="3"/>
    </row>
    <row r="50" spans="5:11" x14ac:dyDescent="0.2">
      <c r="E50" s="3"/>
      <c r="F50" s="3"/>
      <c r="G50" s="3"/>
      <c r="H50" s="3"/>
      <c r="I50" s="3"/>
      <c r="J50" s="3"/>
      <c r="K50" s="3"/>
    </row>
    <row r="51" spans="5:11" x14ac:dyDescent="0.2">
      <c r="E51" s="3"/>
      <c r="F51" s="3"/>
      <c r="G51" s="3"/>
      <c r="H51" s="3"/>
      <c r="I51" s="3"/>
      <c r="J51" s="3"/>
      <c r="K51" s="3"/>
    </row>
    <row r="52" spans="5:11" x14ac:dyDescent="0.2">
      <c r="E52" s="3"/>
      <c r="F52" s="3"/>
      <c r="G52" s="3"/>
      <c r="H52" s="3"/>
      <c r="I52" s="3"/>
      <c r="J52" s="3"/>
      <c r="K52" s="3"/>
    </row>
    <row r="54" spans="5:11" x14ac:dyDescent="0.2">
      <c r="E54" s="1"/>
      <c r="F54" s="1"/>
      <c r="G54" s="1"/>
      <c r="H54" s="1"/>
      <c r="I54" s="1"/>
      <c r="J54" s="1"/>
      <c r="K54" s="1"/>
    </row>
    <row r="55" spans="5:11" x14ac:dyDescent="0.2">
      <c r="E55" s="3"/>
      <c r="F55" s="3"/>
      <c r="G55" s="3"/>
      <c r="H55" s="3"/>
      <c r="I55" s="3"/>
      <c r="J55" s="3"/>
      <c r="K55" s="3"/>
    </row>
    <row r="56" spans="5:11" x14ac:dyDescent="0.2">
      <c r="E56" s="3"/>
      <c r="F56" s="3"/>
      <c r="G56" s="3"/>
      <c r="H56" s="3"/>
      <c r="I56" s="3"/>
      <c r="J56" s="3"/>
      <c r="K56" s="3"/>
    </row>
    <row r="57" spans="5:11" x14ac:dyDescent="0.2">
      <c r="E57" s="3"/>
      <c r="F57" s="3"/>
      <c r="G57" s="3"/>
      <c r="H57" s="3"/>
      <c r="I57" s="3"/>
      <c r="J57" s="3"/>
      <c r="K57" s="3"/>
    </row>
    <row r="58" spans="5:11" x14ac:dyDescent="0.2">
      <c r="E58" s="3"/>
      <c r="F58" s="3"/>
      <c r="G58" s="3"/>
      <c r="H58" s="3"/>
      <c r="I58" s="3"/>
      <c r="J58" s="3"/>
      <c r="K58" s="3"/>
    </row>
    <row r="59" spans="5:11" x14ac:dyDescent="0.2">
      <c r="E59" s="3"/>
      <c r="F59" s="3"/>
      <c r="G59" s="3"/>
      <c r="H59" s="3"/>
      <c r="I59" s="3"/>
      <c r="J59" s="3"/>
      <c r="K59" s="3"/>
    </row>
    <row r="60" spans="5:11" x14ac:dyDescent="0.2">
      <c r="E60" s="3"/>
      <c r="F60" s="3"/>
      <c r="G60" s="3"/>
      <c r="H60" s="3"/>
      <c r="I60" s="3"/>
      <c r="J60" s="3"/>
      <c r="K60" s="3"/>
    </row>
    <row r="61" spans="5:11" x14ac:dyDescent="0.2">
      <c r="E61" s="3"/>
      <c r="F61" s="3"/>
      <c r="G61" s="3"/>
      <c r="H61" s="3"/>
      <c r="I61" s="3"/>
      <c r="J61" s="3"/>
      <c r="K61" s="3"/>
    </row>
    <row r="62" spans="5:11" x14ac:dyDescent="0.2">
      <c r="E62" s="3"/>
      <c r="F62" s="3"/>
      <c r="G62" s="3"/>
      <c r="H62" s="3"/>
      <c r="I62" s="3"/>
      <c r="J62" s="3"/>
      <c r="K62" s="3"/>
    </row>
    <row r="63" spans="5:11" x14ac:dyDescent="0.2">
      <c r="E63" s="3"/>
      <c r="F63" s="3"/>
      <c r="G63" s="3"/>
      <c r="H63" s="3"/>
      <c r="I63" s="3"/>
      <c r="J63" s="3"/>
      <c r="K63" s="3"/>
    </row>
    <row r="64" spans="5:11" x14ac:dyDescent="0.2">
      <c r="E64" s="3"/>
      <c r="F64" s="3"/>
      <c r="G64" s="3"/>
      <c r="H64" s="3"/>
      <c r="I64" s="3"/>
      <c r="J64" s="3"/>
      <c r="K64" s="3"/>
    </row>
    <row r="65" spans="5:11" x14ac:dyDescent="0.2">
      <c r="E65" s="3"/>
      <c r="F65" s="3"/>
      <c r="G65" s="3"/>
      <c r="H65" s="3"/>
      <c r="I65" s="3"/>
      <c r="J65" s="3"/>
      <c r="K65" s="3"/>
    </row>
    <row r="66" spans="5:11" x14ac:dyDescent="0.2">
      <c r="E66" s="3"/>
      <c r="F66" s="3"/>
      <c r="G66" s="3"/>
      <c r="H66" s="3"/>
      <c r="I66" s="3"/>
      <c r="J66" s="3"/>
      <c r="K66" s="3"/>
    </row>
    <row r="67" spans="5:11" x14ac:dyDescent="0.2">
      <c r="E67" s="3"/>
      <c r="F67" s="3"/>
      <c r="G67" s="3"/>
      <c r="H67" s="3"/>
      <c r="I67" s="3"/>
      <c r="J67" s="3"/>
      <c r="K67" s="3"/>
    </row>
    <row r="68" spans="5:11" x14ac:dyDescent="0.2">
      <c r="E68" s="3"/>
      <c r="F68" s="3"/>
      <c r="G68" s="3"/>
      <c r="H68" s="3"/>
      <c r="I68" s="3"/>
      <c r="J68" s="3"/>
      <c r="K68" s="3"/>
    </row>
    <row r="70" spans="5:11" x14ac:dyDescent="0.2">
      <c r="E70" s="1"/>
      <c r="F70" s="1"/>
      <c r="G70" s="1"/>
      <c r="H70" s="1"/>
      <c r="I70" s="1"/>
      <c r="J70" s="1"/>
      <c r="K70" s="1"/>
    </row>
    <row r="71" spans="5:11" x14ac:dyDescent="0.2">
      <c r="E71" s="3"/>
      <c r="F71" s="3"/>
      <c r="G71" s="3"/>
      <c r="H71" s="3"/>
      <c r="I71" s="3"/>
      <c r="J71" s="3"/>
      <c r="K71" s="3"/>
    </row>
    <row r="72" spans="5:11" x14ac:dyDescent="0.2">
      <c r="E72" s="3"/>
      <c r="F72" s="3"/>
      <c r="G72" s="3"/>
      <c r="H72" s="3"/>
      <c r="I72" s="3"/>
      <c r="J72" s="3"/>
      <c r="K72" s="3"/>
    </row>
    <row r="73" spans="5:11" x14ac:dyDescent="0.2">
      <c r="E73" s="3"/>
      <c r="F73" s="3"/>
      <c r="G73" s="3"/>
      <c r="H73" s="3"/>
      <c r="I73" s="3"/>
      <c r="J73" s="3"/>
      <c r="K73" s="3"/>
    </row>
    <row r="74" spans="5:11" x14ac:dyDescent="0.2">
      <c r="E74" s="3"/>
      <c r="F74" s="3"/>
      <c r="G74" s="3"/>
      <c r="H74" s="3"/>
      <c r="I74" s="3"/>
      <c r="J74" s="3"/>
      <c r="K74" s="3"/>
    </row>
    <row r="75" spans="5:11" x14ac:dyDescent="0.2">
      <c r="E75" s="3"/>
      <c r="F75" s="3"/>
      <c r="G75" s="3"/>
      <c r="H75" s="3"/>
      <c r="I75" s="3"/>
      <c r="J75" s="3"/>
      <c r="K75" s="3"/>
    </row>
    <row r="76" spans="5:11" x14ac:dyDescent="0.2">
      <c r="E76" s="3"/>
      <c r="F76" s="3"/>
      <c r="G76" s="3"/>
      <c r="H76" s="3"/>
      <c r="I76" s="3"/>
      <c r="J76" s="3"/>
      <c r="K76" s="3"/>
    </row>
    <row r="77" spans="5:11" x14ac:dyDescent="0.2">
      <c r="E77" s="3"/>
      <c r="F77" s="3"/>
      <c r="G77" s="3"/>
      <c r="H77" s="3"/>
      <c r="I77" s="3"/>
      <c r="J77" s="3"/>
      <c r="K77" s="3"/>
    </row>
    <row r="78" spans="5:11" x14ac:dyDescent="0.2">
      <c r="E78" s="3"/>
      <c r="F78" s="3"/>
      <c r="G78" s="3"/>
      <c r="H78" s="3"/>
      <c r="I78" s="3"/>
      <c r="J78" s="3"/>
      <c r="K78" s="3"/>
    </row>
  </sheetData>
  <sheetProtection selectLockedCells="1" autoFilter="0"/>
  <mergeCells count="1">
    <mergeCell ref="R1:Z1"/>
  </mergeCells>
  <dataValidations count="16">
    <dataValidation type="list" allowBlank="1" showInputMessage="1" showErrorMessage="1" promptTitle="Disability Status" prompt="Select from dropdown list" sqref="G3" xr:uid="{672D8900-5A91-4950-A998-D6B55DFCDA6E}">
      <formula1>"Disability, No Disability, Prefer Not to Say"</formula1>
    </dataValidation>
    <dataValidation type="list" allowBlank="1" showInputMessage="1" showErrorMessage="1" promptTitle="English as Add'l Language" prompt="Select from drop down" sqref="F3" xr:uid="{CD9DEC1D-688B-4987-973C-2633E04740A0}">
      <formula1>"Yes, No, Prefer Not to Say"</formula1>
    </dataValidation>
    <dataValidation type="list" allowBlank="1" showInputMessage="1" showErrorMessage="1" promptTitle="Gender" prompt="Select from drop down_x000a_" sqref="C3" xr:uid="{15391660-63ED-4C7E-8AE7-21FA7C4B1B6D}">
      <formula1>"Male, Female, Non-Binary, Other, Prefer Not to Say"</formula1>
    </dataValidation>
    <dataValidation type="list" allowBlank="1" showInputMessage="1" showErrorMessage="1" promptTitle="Ethnicity" prompt="Select from drop down" sqref="E3" xr:uid="{E46ACF16-0B99-4E90-9ED4-9932043B9C4F}">
      <formula1>"White British, White European, Mixed, Asian/Asian British, Black/African/Caribbean/Black British, Traveller, Other"</formula1>
    </dataValidation>
    <dataValidation type="list" allowBlank="1" showInputMessage="1" showErrorMessage="1" promptTitle="Looked After " prompt="Select from drop down_x000a_" sqref="L3" xr:uid="{9E418E4A-A75F-460C-8835-CE6FBECA84E0}">
      <formula1>"No, Yes - Adopted, Yes - Child in Care, SGO, Kinship"</formula1>
    </dataValidation>
    <dataValidation allowBlank="1" showInputMessage="1" showErrorMessage="1" promptTitle="DoB" prompt="MM/YY" sqref="B3" xr:uid="{56F90B27-680A-4968-8FA0-04229A16AB61}"/>
    <dataValidation type="list" allowBlank="1" showInputMessage="1" showErrorMessage="1" sqref="Q4:Z6" xr:uid="{3694AEB6-3E65-48A0-A1FE-902DF5DA9648}">
      <formula1>"Emotional, Behavioural, Relational, Regulatory Capacity, Trauma Recovery, Self Esteem/Confidence"</formula1>
    </dataValidation>
    <dataValidation type="list" allowBlank="1" showInputMessage="1" showErrorMessage="1" sqref="L4:L5 M5:P5" xr:uid="{74B7460A-07B8-44A3-8E8B-00029D7109E3}">
      <formula1>"Yes, No"</formula1>
    </dataValidation>
    <dataValidation type="list" allowBlank="1" showInputMessage="1" showErrorMessage="1" promptTitle="Select from drop down" sqref="M3" xr:uid="{0D86A9F0-F8FF-44E2-9638-B32B0A1262BC}">
      <formula1>"CCPT, CPRT, PTP, IA"</formula1>
    </dataValidation>
    <dataValidation type="list" allowBlank="1" showInputMessage="1" showErrorMessage="1" promptTitle="Disability" prompt="Select from drop down list_x000a_" sqref="H3:K3" xr:uid="{E21C4B42-391B-4066-B3E8-0414BB88E778}">
      <formula1>"Physical, Sensory Impairment (e.g. hearing or visual), Learning, Neurodivergence (e.g. ASD or ADHD), Mental Health Condition, Long Term or Chronic Illness, Speech or Communication, Cognitive or Memory Impairment, Other, N/A"</formula1>
    </dataValidation>
    <dataValidation type="list" allowBlank="1" showInputMessage="1" showErrorMessage="1" promptTitle="Input ACES Score" prompt="Affected by adverse childhood experiences" sqref="Q3" xr:uid="{3D315B4A-453E-4C58-A68A-C9D214F940D8}">
      <formula1>"0, 1, 2, 3, 4, 5, 6, 7, 8, 9, 10"</formula1>
    </dataValidation>
    <dataValidation type="list" allowBlank="1" showInputMessage="1" showErrorMessage="1" promptTitle="Home Address - County Council" prompt="Select from drop down_x000a_" sqref="D3" xr:uid="{7AB315B5-78DF-4697-A5CD-964DB132402D}">
      <formula1>"Cheltenham, Gloucester City, Stroud, Tewkesbury, Forest of Dean, North Cotswolds, Out of County"</formula1>
    </dataValidation>
    <dataValidation type="list" allowBlank="1" showInputMessage="1" showErrorMessage="1" promptTitle="Select from drop down" sqref="N3:P3" xr:uid="{FCD3C869-73C7-4FE9-97CF-F58FB31482A1}">
      <formula1>"CCPT, CPRT, PTP, IA, N/A"</formula1>
    </dataValidation>
    <dataValidation showInputMessage="1" showErrorMessage="1" promptTitle="Total Sessions" prompt="For completed intervention_x000a_" sqref="M4:P4" xr:uid="{2F376358-B6D7-4272-8E56-B409D37F338B}"/>
    <dataValidation type="list" allowBlank="1" showInputMessage="1" showErrorMessage="1" promptTitle="Input Extended ACES Score" prompt="Affected by adverse childhood experiences - from defined list_x000a_" sqref="R3:Z3" xr:uid="{0A063D2D-405D-4B89-8F1F-67BFA14D2735}">
      <formula1>"0, 1, 2, 3, 4, 5, 6, 7, 8, 9, 10"</formula1>
    </dataValidation>
    <dataValidation type="list" allowBlank="1" showInputMessage="1" showErrorMessage="1" promptTitle="Funder" prompt="Select from drop down box" sqref="AA3:AD3" xr:uid="{847A3CE6-303B-46AD-B79A-C56ACB360BD5}">
      <formula1>"EHCP, PEP, ASGSF, Social Care, PP+, TALC, Private, Other Charitable, Subsidised Session Fund, Project"</formula1>
    </dataValidation>
  </dataValidations>
  <pageMargins left="0.75" right="0.75" top="1" bottom="1" header="0.5" footer="0.5"/>
  <pageSetup scale="7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8479E-4F5E-42FF-8DD7-4582E2E43D73}">
  <dimension ref="B1:Q99"/>
  <sheetViews>
    <sheetView showGridLines="0" zoomScaleNormal="100" workbookViewId="0">
      <selection activeCell="B2" sqref="B2"/>
    </sheetView>
  </sheetViews>
  <sheetFormatPr baseColWidth="10" defaultColWidth="9.1640625" defaultRowHeight="15" x14ac:dyDescent="0.2"/>
  <cols>
    <col min="1" max="2" width="9.1640625" style="18"/>
    <col min="3" max="3" width="34.83203125" style="18" customWidth="1"/>
    <col min="4" max="4" width="15.5" style="18" customWidth="1"/>
    <col min="5" max="10" width="12.6640625" style="18" customWidth="1"/>
    <col min="11" max="11" width="9.1640625" style="18"/>
    <col min="12" max="12" width="17.6640625" style="18" customWidth="1"/>
    <col min="13" max="13" width="18" style="18" customWidth="1"/>
    <col min="14" max="14" width="19.5" style="18" customWidth="1"/>
    <col min="15" max="15" width="20.5" style="18" customWidth="1"/>
    <col min="16" max="16" width="16.1640625" style="18" customWidth="1"/>
    <col min="17" max="17" width="14.33203125" style="18" customWidth="1"/>
    <col min="18" max="16384" width="9.1640625" style="18"/>
  </cols>
  <sheetData>
    <row r="1" spans="3:17" ht="16" thickBot="1" x14ac:dyDescent="0.25"/>
    <row r="2" spans="3:17" x14ac:dyDescent="0.2">
      <c r="C2" s="19" t="s">
        <v>125</v>
      </c>
      <c r="D2" s="20" t="s">
        <v>133</v>
      </c>
      <c r="E2" s="20"/>
      <c r="F2" s="20"/>
      <c r="G2" s="20"/>
      <c r="H2" s="20"/>
      <c r="I2" s="20"/>
      <c r="J2" s="21"/>
    </row>
    <row r="3" spans="3:17" x14ac:dyDescent="0.2">
      <c r="C3" s="22"/>
      <c r="D3" s="18" t="s">
        <v>124</v>
      </c>
      <c r="J3" s="23"/>
    </row>
    <row r="4" spans="3:17" x14ac:dyDescent="0.2">
      <c r="C4" s="22"/>
      <c r="D4" s="18" t="s">
        <v>210</v>
      </c>
      <c r="J4" s="23"/>
    </row>
    <row r="5" spans="3:17" x14ac:dyDescent="0.2">
      <c r="C5" s="22"/>
      <c r="D5" s="18" t="s">
        <v>123</v>
      </c>
      <c r="J5" s="23"/>
    </row>
    <row r="6" spans="3:17" x14ac:dyDescent="0.2">
      <c r="C6" s="22"/>
      <c r="D6" s="18" t="s">
        <v>198</v>
      </c>
      <c r="J6" s="23"/>
    </row>
    <row r="7" spans="3:17" ht="16" thickBot="1" x14ac:dyDescent="0.25">
      <c r="C7" s="41"/>
      <c r="D7" s="42"/>
      <c r="E7" s="42"/>
      <c r="F7" s="42"/>
      <c r="G7" s="42"/>
      <c r="H7" s="42"/>
      <c r="I7" s="42"/>
      <c r="J7" s="43"/>
    </row>
    <row r="8" spans="3:17" ht="16" thickBot="1" x14ac:dyDescent="0.25"/>
    <row r="9" spans="3:17" ht="16" thickBot="1" x14ac:dyDescent="0.25">
      <c r="C9" s="54" t="s">
        <v>132</v>
      </c>
      <c r="D9" s="119"/>
      <c r="E9" s="170" t="s">
        <v>131</v>
      </c>
      <c r="F9" s="170"/>
      <c r="G9" s="170"/>
      <c r="H9" s="170"/>
      <c r="I9" s="170"/>
      <c r="J9" s="169"/>
    </row>
    <row r="10" spans="3:17" ht="16" thickBot="1" x14ac:dyDescent="0.25">
      <c r="E10" s="55">
        <v>1</v>
      </c>
      <c r="F10" s="56">
        <v>2</v>
      </c>
      <c r="G10" s="56">
        <v>3</v>
      </c>
      <c r="H10" s="56">
        <v>4</v>
      </c>
      <c r="I10" s="57">
        <v>5</v>
      </c>
      <c r="J10" s="57">
        <v>6</v>
      </c>
    </row>
    <row r="11" spans="3:17" ht="16" thickBot="1" x14ac:dyDescent="0.25">
      <c r="E11" s="58"/>
      <c r="F11" s="58"/>
      <c r="G11" s="58"/>
      <c r="H11" s="58"/>
      <c r="I11" s="58"/>
      <c r="J11" s="58"/>
      <c r="L11" s="178" t="s">
        <v>188</v>
      </c>
      <c r="M11" s="179"/>
      <c r="N11" s="179"/>
      <c r="O11" s="179"/>
      <c r="P11" s="179"/>
      <c r="Q11" s="180"/>
    </row>
    <row r="12" spans="3:17" ht="16" thickBot="1" x14ac:dyDescent="0.25">
      <c r="C12" s="108" t="s">
        <v>78</v>
      </c>
      <c r="D12" s="109" t="s">
        <v>118</v>
      </c>
      <c r="E12" s="110" t="s">
        <v>10</v>
      </c>
      <c r="F12" s="31" t="s">
        <v>10</v>
      </c>
      <c r="G12" s="31" t="s">
        <v>10</v>
      </c>
      <c r="H12" s="31" t="s">
        <v>10</v>
      </c>
      <c r="I12" s="31" t="s">
        <v>10</v>
      </c>
      <c r="J12" s="31" t="s">
        <v>10</v>
      </c>
      <c r="L12" s="32">
        <v>1</v>
      </c>
      <c r="M12" s="33">
        <v>2</v>
      </c>
      <c r="N12" s="33">
        <v>3</v>
      </c>
      <c r="O12" s="33">
        <v>4</v>
      </c>
      <c r="P12" s="33">
        <v>5</v>
      </c>
      <c r="Q12" s="34">
        <v>6</v>
      </c>
    </row>
    <row r="13" spans="3:17" x14ac:dyDescent="0.2">
      <c r="C13" s="111" t="s">
        <v>75</v>
      </c>
      <c r="D13" s="36"/>
      <c r="E13" s="117"/>
      <c r="F13" s="117"/>
      <c r="G13" s="117"/>
      <c r="H13" s="117"/>
      <c r="I13" s="117"/>
      <c r="J13" s="118"/>
      <c r="L13" s="113" t="str">
        <f t="shared" ref="L13:L29" si="0">IF(OR(LEN(TRIM(E13))&gt;0, LEN(TRIM(E36))&gt;0, LEN(TRIM(E59))&gt;0, LEN(TRIM(E82))&gt;0), "✓", "")</f>
        <v/>
      </c>
      <c r="M13" s="8" t="str">
        <f t="shared" ref="M13:M21" si="1">IF(OR(LEN(TRIM(F13))&gt;0, LEN(TRIM(F36))&gt;0, LEN(TRIM(F59))&gt;0, LEN(TRIM(F82))&gt;0), "✓", "")</f>
        <v/>
      </c>
      <c r="N13" s="8" t="str">
        <f t="shared" ref="N13:N21" si="2">IF(OR(LEN(TRIM(G13))&gt;0, LEN(TRIM(G36))&gt;0, LEN(TRIM(G59))&gt;0, LEN(TRIM(G82))&gt;0), "✓", "")</f>
        <v/>
      </c>
      <c r="O13" s="8" t="str">
        <f t="shared" ref="O13:O21" si="3">IF(OR(LEN(TRIM(H13))&gt;0, LEN(TRIM(H36))&gt;0, LEN(TRIM(H59))&gt;0, LEN(TRIM(H82))&gt;0), "✓", "")</f>
        <v/>
      </c>
      <c r="P13" s="8" t="str">
        <f t="shared" ref="P13:P21" si="4">IF(OR(LEN(TRIM(I13))&gt;0, LEN(TRIM(I36))&gt;0, LEN(TRIM(I59))&gt;0, LEN(TRIM(I82))&gt;0), "✓", "")</f>
        <v/>
      </c>
      <c r="Q13" s="114" t="str">
        <f>IF(OR(LEN(TRIM(J13))&gt;0, LEN(TRIM(J36))&gt;0, LEN(TRIM(J59))&gt;0, LEN(TRIM(J82))&gt;0), "✓", "")</f>
        <v/>
      </c>
    </row>
    <row r="14" spans="3:17" x14ac:dyDescent="0.2">
      <c r="C14" s="59" t="s">
        <v>76</v>
      </c>
      <c r="D14" s="36"/>
      <c r="E14" s="37"/>
      <c r="F14" s="37"/>
      <c r="G14" s="37"/>
      <c r="H14" s="37"/>
      <c r="I14" s="37"/>
      <c r="J14" s="115"/>
      <c r="L14" s="113" t="str">
        <f t="shared" si="0"/>
        <v/>
      </c>
      <c r="M14" s="8" t="str">
        <f t="shared" si="1"/>
        <v/>
      </c>
      <c r="N14" s="8" t="str">
        <f t="shared" si="2"/>
        <v/>
      </c>
      <c r="O14" s="8" t="str">
        <f t="shared" si="3"/>
        <v/>
      </c>
      <c r="P14" s="8" t="str">
        <f t="shared" si="4"/>
        <v/>
      </c>
      <c r="Q14" s="114" t="str">
        <f t="shared" ref="Q14:Q21" si="5">IF(OR(LEN(TRIM(J14))&gt;0, LEN(TRIM(J37))&gt;0, LEN(TRIM(J60))&gt;0, LEN(TRIM(J83))&gt;0), "✓", "")</f>
        <v/>
      </c>
    </row>
    <row r="15" spans="3:17" x14ac:dyDescent="0.2">
      <c r="C15" s="59" t="s">
        <v>77</v>
      </c>
      <c r="D15" s="36"/>
      <c r="E15" s="37"/>
      <c r="F15" s="37"/>
      <c r="G15" s="37"/>
      <c r="H15" s="37"/>
      <c r="I15" s="37"/>
      <c r="J15" s="115"/>
      <c r="L15" s="113" t="str">
        <f t="shared" si="0"/>
        <v/>
      </c>
      <c r="M15" s="8" t="str">
        <f t="shared" si="1"/>
        <v/>
      </c>
      <c r="N15" s="8" t="str">
        <f t="shared" si="2"/>
        <v/>
      </c>
      <c r="O15" s="8" t="str">
        <f t="shared" si="3"/>
        <v/>
      </c>
      <c r="P15" s="8" t="str">
        <f t="shared" si="4"/>
        <v/>
      </c>
      <c r="Q15" s="114" t="str">
        <f t="shared" si="5"/>
        <v/>
      </c>
    </row>
    <row r="16" spans="3:17" x14ac:dyDescent="0.2">
      <c r="C16" s="59" t="s">
        <v>79</v>
      </c>
      <c r="D16" s="36"/>
      <c r="E16" s="37"/>
      <c r="F16" s="37"/>
      <c r="G16" s="37"/>
      <c r="H16" s="37"/>
      <c r="I16" s="37"/>
      <c r="J16" s="115"/>
      <c r="L16" s="113" t="str">
        <f t="shared" si="0"/>
        <v/>
      </c>
      <c r="M16" s="8" t="str">
        <f t="shared" si="1"/>
        <v/>
      </c>
      <c r="N16" s="8" t="str">
        <f t="shared" si="2"/>
        <v/>
      </c>
      <c r="O16" s="8" t="str">
        <f t="shared" si="3"/>
        <v/>
      </c>
      <c r="P16" s="8" t="str">
        <f t="shared" si="4"/>
        <v/>
      </c>
      <c r="Q16" s="114" t="str">
        <f t="shared" si="5"/>
        <v/>
      </c>
    </row>
    <row r="17" spans="3:17" x14ac:dyDescent="0.2">
      <c r="C17" s="59" t="s">
        <v>80</v>
      </c>
      <c r="D17" s="36"/>
      <c r="E17" s="37"/>
      <c r="F17" s="37"/>
      <c r="G17" s="37"/>
      <c r="H17" s="37"/>
      <c r="I17" s="37"/>
      <c r="J17" s="115"/>
      <c r="L17" s="113" t="str">
        <f t="shared" si="0"/>
        <v/>
      </c>
      <c r="M17" s="8" t="str">
        <f t="shared" si="1"/>
        <v/>
      </c>
      <c r="N17" s="8" t="str">
        <f t="shared" si="2"/>
        <v/>
      </c>
      <c r="O17" s="8" t="str">
        <f t="shared" si="3"/>
        <v/>
      </c>
      <c r="P17" s="8" t="str">
        <f t="shared" si="4"/>
        <v/>
      </c>
      <c r="Q17" s="114" t="str">
        <f t="shared" si="5"/>
        <v/>
      </c>
    </row>
    <row r="18" spans="3:17" x14ac:dyDescent="0.2">
      <c r="C18" s="59" t="s">
        <v>81</v>
      </c>
      <c r="D18" s="36"/>
      <c r="E18" s="37"/>
      <c r="F18" s="37"/>
      <c r="G18" s="37"/>
      <c r="H18" s="37"/>
      <c r="I18" s="37"/>
      <c r="J18" s="115"/>
      <c r="L18" s="113" t="str">
        <f t="shared" si="0"/>
        <v/>
      </c>
      <c r="M18" s="8" t="str">
        <f t="shared" si="1"/>
        <v/>
      </c>
      <c r="N18" s="8" t="str">
        <f t="shared" si="2"/>
        <v/>
      </c>
      <c r="O18" s="8" t="str">
        <f t="shared" si="3"/>
        <v/>
      </c>
      <c r="P18" s="8" t="str">
        <f t="shared" si="4"/>
        <v/>
      </c>
      <c r="Q18" s="114" t="str">
        <f t="shared" si="5"/>
        <v/>
      </c>
    </row>
    <row r="19" spans="3:17" x14ac:dyDescent="0.2">
      <c r="C19" s="59" t="s">
        <v>82</v>
      </c>
      <c r="D19" s="36"/>
      <c r="E19" s="37"/>
      <c r="F19" s="37"/>
      <c r="G19" s="37"/>
      <c r="H19" s="37"/>
      <c r="I19" s="37"/>
      <c r="J19" s="115"/>
      <c r="L19" s="113" t="str">
        <f t="shared" si="0"/>
        <v/>
      </c>
      <c r="M19" s="8" t="str">
        <f t="shared" si="1"/>
        <v/>
      </c>
      <c r="N19" s="8" t="str">
        <f t="shared" si="2"/>
        <v/>
      </c>
      <c r="O19" s="8" t="str">
        <f t="shared" si="3"/>
        <v/>
      </c>
      <c r="P19" s="8" t="str">
        <f t="shared" si="4"/>
        <v/>
      </c>
      <c r="Q19" s="114" t="str">
        <f t="shared" si="5"/>
        <v/>
      </c>
    </row>
    <row r="20" spans="3:17" x14ac:dyDescent="0.2">
      <c r="C20" s="59" t="s">
        <v>83</v>
      </c>
      <c r="D20" s="36"/>
      <c r="E20" s="37"/>
      <c r="F20" s="37"/>
      <c r="G20" s="37"/>
      <c r="H20" s="37"/>
      <c r="I20" s="37"/>
      <c r="J20" s="115"/>
      <c r="L20" s="113" t="str">
        <f t="shared" si="0"/>
        <v/>
      </c>
      <c r="M20" s="8" t="str">
        <f t="shared" si="1"/>
        <v/>
      </c>
      <c r="N20" s="8" t="str">
        <f t="shared" si="2"/>
        <v/>
      </c>
      <c r="O20" s="8" t="str">
        <f t="shared" si="3"/>
        <v/>
      </c>
      <c r="P20" s="8" t="str">
        <f t="shared" si="4"/>
        <v/>
      </c>
      <c r="Q20" s="114" t="str">
        <f t="shared" si="5"/>
        <v/>
      </c>
    </row>
    <row r="21" spans="3:17" x14ac:dyDescent="0.2">
      <c r="C21" s="59" t="s">
        <v>84</v>
      </c>
      <c r="D21" s="36"/>
      <c r="E21" s="37"/>
      <c r="F21" s="37"/>
      <c r="G21" s="37"/>
      <c r="H21" s="37"/>
      <c r="I21" s="37"/>
      <c r="J21" s="115"/>
      <c r="L21" s="113" t="str">
        <f t="shared" si="0"/>
        <v/>
      </c>
      <c r="M21" s="8" t="str">
        <f t="shared" si="1"/>
        <v/>
      </c>
      <c r="N21" s="8" t="str">
        <f t="shared" si="2"/>
        <v/>
      </c>
      <c r="O21" s="8" t="str">
        <f t="shared" si="3"/>
        <v/>
      </c>
      <c r="P21" s="8" t="str">
        <f t="shared" si="4"/>
        <v/>
      </c>
      <c r="Q21" s="114" t="str">
        <f t="shared" si="5"/>
        <v/>
      </c>
    </row>
    <row r="22" spans="3:17" x14ac:dyDescent="0.2">
      <c r="C22" s="59" t="s">
        <v>174</v>
      </c>
      <c r="D22" s="36"/>
      <c r="E22" s="37"/>
      <c r="F22" s="37"/>
      <c r="G22" s="37"/>
      <c r="H22" s="37"/>
      <c r="I22" s="37"/>
      <c r="J22" s="115"/>
      <c r="L22" s="113" t="str">
        <f t="shared" si="0"/>
        <v/>
      </c>
      <c r="M22" s="8" t="str">
        <f t="shared" ref="M22:M30" si="6">IF(OR(LEN(TRIM(F22))&gt;0, LEN(TRIM(F45))&gt;0, LEN(TRIM(F68))&gt;0, LEN(TRIM(F91))&gt;0), "✓", "")</f>
        <v/>
      </c>
      <c r="N22" s="8" t="str">
        <f t="shared" ref="N22:N30" si="7">IF(OR(LEN(TRIM(G22))&gt;0, LEN(TRIM(G45))&gt;0, LEN(TRIM(G68))&gt;0, LEN(TRIM(G91))&gt;0), "✓", "")</f>
        <v/>
      </c>
      <c r="O22" s="8" t="str">
        <f t="shared" ref="O22:O30" si="8">IF(OR(LEN(TRIM(H22))&gt;0, LEN(TRIM(H45))&gt;0, LEN(TRIM(H68))&gt;0, LEN(TRIM(H91))&gt;0), "✓", "")</f>
        <v/>
      </c>
      <c r="P22" s="8" t="str">
        <f t="shared" ref="P22:P30" si="9">IF(OR(LEN(TRIM(I22))&gt;0, LEN(TRIM(I45))&gt;0, LEN(TRIM(I68))&gt;0, LEN(TRIM(I91))&gt;0), "✓", "")</f>
        <v/>
      </c>
      <c r="Q22" s="114" t="str">
        <f t="shared" ref="Q22:Q30" si="10">IF(OR(LEN(TRIM(J22))&gt;0, LEN(TRIM(J45))&gt;0, LEN(TRIM(J68))&gt;0, LEN(TRIM(J91))&gt;0), "✓", "")</f>
        <v/>
      </c>
    </row>
    <row r="23" spans="3:17" x14ac:dyDescent="0.2">
      <c r="C23" s="59" t="s">
        <v>175</v>
      </c>
      <c r="D23" s="36"/>
      <c r="E23" s="37"/>
      <c r="F23" s="37"/>
      <c r="G23" s="37"/>
      <c r="H23" s="37"/>
      <c r="I23" s="37"/>
      <c r="J23" s="115"/>
      <c r="L23" s="113" t="str">
        <f t="shared" si="0"/>
        <v/>
      </c>
      <c r="M23" s="8" t="str">
        <f t="shared" si="6"/>
        <v/>
      </c>
      <c r="N23" s="8" t="str">
        <f t="shared" si="7"/>
        <v/>
      </c>
      <c r="O23" s="8" t="str">
        <f t="shared" si="8"/>
        <v/>
      </c>
      <c r="P23" s="8" t="str">
        <f t="shared" si="9"/>
        <v/>
      </c>
      <c r="Q23" s="114" t="str">
        <f t="shared" si="10"/>
        <v/>
      </c>
    </row>
    <row r="24" spans="3:17" x14ac:dyDescent="0.2">
      <c r="C24" s="59" t="s">
        <v>176</v>
      </c>
      <c r="D24" s="36"/>
      <c r="E24" s="37"/>
      <c r="F24" s="37"/>
      <c r="G24" s="37"/>
      <c r="H24" s="37"/>
      <c r="I24" s="37"/>
      <c r="J24" s="115"/>
      <c r="L24" s="113" t="str">
        <f t="shared" si="0"/>
        <v/>
      </c>
      <c r="M24" s="8" t="str">
        <f t="shared" si="6"/>
        <v/>
      </c>
      <c r="N24" s="8" t="str">
        <f t="shared" si="7"/>
        <v/>
      </c>
      <c r="O24" s="8" t="str">
        <f t="shared" si="8"/>
        <v/>
      </c>
      <c r="P24" s="8" t="str">
        <f t="shared" si="9"/>
        <v/>
      </c>
      <c r="Q24" s="114" t="str">
        <f t="shared" si="10"/>
        <v/>
      </c>
    </row>
    <row r="25" spans="3:17" x14ac:dyDescent="0.2">
      <c r="C25" s="59" t="s">
        <v>177</v>
      </c>
      <c r="D25" s="36"/>
      <c r="E25" s="37"/>
      <c r="F25" s="37"/>
      <c r="G25" s="37"/>
      <c r="H25" s="37"/>
      <c r="I25" s="37"/>
      <c r="J25" s="115"/>
      <c r="L25" s="113" t="str">
        <f t="shared" si="0"/>
        <v/>
      </c>
      <c r="M25" s="8" t="str">
        <f t="shared" si="6"/>
        <v/>
      </c>
      <c r="N25" s="8" t="str">
        <f t="shared" si="7"/>
        <v/>
      </c>
      <c r="O25" s="8" t="str">
        <f t="shared" si="8"/>
        <v/>
      </c>
      <c r="P25" s="8" t="str">
        <f t="shared" si="9"/>
        <v/>
      </c>
      <c r="Q25" s="114" t="str">
        <f t="shared" si="10"/>
        <v/>
      </c>
    </row>
    <row r="26" spans="3:17" x14ac:dyDescent="0.2">
      <c r="C26" s="59" t="s">
        <v>178</v>
      </c>
      <c r="D26" s="36"/>
      <c r="E26" s="37"/>
      <c r="F26" s="37"/>
      <c r="G26" s="37"/>
      <c r="H26" s="37"/>
      <c r="I26" s="37"/>
      <c r="J26" s="115"/>
      <c r="L26" s="113" t="str">
        <f t="shared" si="0"/>
        <v/>
      </c>
      <c r="M26" s="8" t="str">
        <f t="shared" si="6"/>
        <v/>
      </c>
      <c r="N26" s="8" t="str">
        <f t="shared" si="7"/>
        <v/>
      </c>
      <c r="O26" s="8" t="str">
        <f t="shared" si="8"/>
        <v/>
      </c>
      <c r="P26" s="8" t="str">
        <f t="shared" si="9"/>
        <v/>
      </c>
      <c r="Q26" s="114" t="str">
        <f t="shared" si="10"/>
        <v/>
      </c>
    </row>
    <row r="27" spans="3:17" x14ac:dyDescent="0.2">
      <c r="C27" s="59" t="s">
        <v>179</v>
      </c>
      <c r="D27" s="36"/>
      <c r="E27" s="37"/>
      <c r="F27" s="37"/>
      <c r="G27" s="37"/>
      <c r="H27" s="37"/>
      <c r="I27" s="37"/>
      <c r="J27" s="115"/>
      <c r="L27" s="113" t="str">
        <f t="shared" si="0"/>
        <v/>
      </c>
      <c r="M27" s="8" t="str">
        <f t="shared" si="6"/>
        <v/>
      </c>
      <c r="N27" s="8" t="str">
        <f t="shared" si="7"/>
        <v/>
      </c>
      <c r="O27" s="8" t="str">
        <f t="shared" si="8"/>
        <v/>
      </c>
      <c r="P27" s="8" t="str">
        <f t="shared" si="9"/>
        <v/>
      </c>
      <c r="Q27" s="114" t="str">
        <f t="shared" si="10"/>
        <v/>
      </c>
    </row>
    <row r="28" spans="3:17" x14ac:dyDescent="0.2">
      <c r="C28" s="59" t="s">
        <v>180</v>
      </c>
      <c r="D28" s="36"/>
      <c r="E28" s="37"/>
      <c r="F28" s="37"/>
      <c r="G28" s="37"/>
      <c r="H28" s="37"/>
      <c r="I28" s="37"/>
      <c r="J28" s="115"/>
      <c r="L28" s="113" t="str">
        <f t="shared" si="0"/>
        <v/>
      </c>
      <c r="M28" s="8" t="str">
        <f t="shared" si="6"/>
        <v/>
      </c>
      <c r="N28" s="8" t="str">
        <f t="shared" si="7"/>
        <v/>
      </c>
      <c r="O28" s="8" t="str">
        <f t="shared" si="8"/>
        <v/>
      </c>
      <c r="P28" s="8" t="str">
        <f t="shared" si="9"/>
        <v/>
      </c>
      <c r="Q28" s="114" t="str">
        <f t="shared" si="10"/>
        <v/>
      </c>
    </row>
    <row r="29" spans="3:17" x14ac:dyDescent="0.2">
      <c r="C29" s="59" t="s">
        <v>181</v>
      </c>
      <c r="D29" s="36"/>
      <c r="E29" s="37"/>
      <c r="F29" s="37"/>
      <c r="G29" s="37"/>
      <c r="H29" s="37"/>
      <c r="I29" s="37"/>
      <c r="J29" s="115"/>
      <c r="L29" s="113" t="str">
        <f t="shared" si="0"/>
        <v/>
      </c>
      <c r="M29" s="8" t="str">
        <f t="shared" si="6"/>
        <v/>
      </c>
      <c r="N29" s="8" t="str">
        <f t="shared" si="7"/>
        <v/>
      </c>
      <c r="O29" s="8" t="str">
        <f t="shared" si="8"/>
        <v/>
      </c>
      <c r="P29" s="8" t="str">
        <f t="shared" si="9"/>
        <v/>
      </c>
      <c r="Q29" s="114" t="str">
        <f t="shared" si="10"/>
        <v/>
      </c>
    </row>
    <row r="30" spans="3:17" ht="16" thickBot="1" x14ac:dyDescent="0.25">
      <c r="C30" s="60" t="s">
        <v>182</v>
      </c>
      <c r="D30" s="39"/>
      <c r="E30" s="40"/>
      <c r="F30" s="40"/>
      <c r="G30" s="40"/>
      <c r="H30" s="40"/>
      <c r="I30" s="40"/>
      <c r="J30" s="116"/>
      <c r="L30" s="113" t="str">
        <f>IF(OR(LEN(TRIM(E30))&gt;0, LEN(TRIM(E53))&gt;0, LEN(TRIM(E76))&gt;0, LEN(TRIM(E99))&gt;0), "✓", "")</f>
        <v/>
      </c>
      <c r="M30" s="8" t="str">
        <f t="shared" si="6"/>
        <v/>
      </c>
      <c r="N30" s="8" t="str">
        <f t="shared" si="7"/>
        <v/>
      </c>
      <c r="O30" s="8" t="str">
        <f t="shared" si="8"/>
        <v/>
      </c>
      <c r="P30" s="8" t="str">
        <f t="shared" si="9"/>
        <v/>
      </c>
      <c r="Q30" s="114" t="str">
        <f t="shared" si="10"/>
        <v/>
      </c>
    </row>
    <row r="31" spans="3:17" ht="16" thickBot="1" x14ac:dyDescent="0.25"/>
    <row r="32" spans="3:17" ht="16" thickBot="1" x14ac:dyDescent="0.25">
      <c r="C32" s="54" t="s">
        <v>132</v>
      </c>
      <c r="D32" s="119"/>
      <c r="E32" s="168" t="s">
        <v>134</v>
      </c>
      <c r="F32" s="170"/>
      <c r="G32" s="170"/>
      <c r="H32" s="170"/>
      <c r="I32" s="170"/>
      <c r="J32" s="169"/>
      <c r="L32"/>
      <c r="M32"/>
      <c r="N32"/>
      <c r="O32"/>
      <c r="P32"/>
      <c r="Q32"/>
    </row>
    <row r="33" spans="2:17" ht="16" thickBot="1" x14ac:dyDescent="0.25">
      <c r="E33" s="55">
        <v>1</v>
      </c>
      <c r="F33" s="56">
        <v>2</v>
      </c>
      <c r="G33" s="56">
        <v>3</v>
      </c>
      <c r="H33" s="56">
        <v>4</v>
      </c>
      <c r="I33" s="57">
        <v>5</v>
      </c>
      <c r="J33" s="57">
        <v>6</v>
      </c>
      <c r="L33" s="80" t="str">
        <f t="shared" ref="L33:Q33" si="11">IF(COUNTIF(L13:L21,"✓")=0, "",
   IF(OR(
     AND(L13="✓", L14="✓", L15="✓"),
     AND(L14="✓", L15="✓", L16="✓"),
     AND(L15="✓", L16="✓", L17="✓"),
     AND(L16="✓", L17="✓", L18="✓"),
     AND(L17="✓", L18="✓", L19="✓"),
     AND(L18="✓", L19="✓", L20="✓"),
     AND(L19="✓", L20="✓", L21="✓")
   ), "Complete", "Incomplete"))</f>
        <v/>
      </c>
      <c r="M33" s="80" t="str">
        <f t="shared" si="11"/>
        <v/>
      </c>
      <c r="N33" s="80" t="str">
        <f t="shared" si="11"/>
        <v/>
      </c>
      <c r="O33" s="80" t="str">
        <f t="shared" si="11"/>
        <v/>
      </c>
      <c r="P33" s="80" t="str">
        <f t="shared" si="11"/>
        <v/>
      </c>
      <c r="Q33" s="80" t="str">
        <f t="shared" si="11"/>
        <v/>
      </c>
    </row>
    <row r="34" spans="2:17" ht="16" thickBot="1" x14ac:dyDescent="0.25">
      <c r="E34" s="112"/>
      <c r="F34" s="112"/>
      <c r="G34" s="112"/>
      <c r="H34" s="112"/>
      <c r="I34" s="112"/>
      <c r="J34" s="112"/>
    </row>
    <row r="35" spans="2:17" ht="16" thickBot="1" x14ac:dyDescent="0.25">
      <c r="B35" s="24"/>
      <c r="C35" s="96" t="s">
        <v>78</v>
      </c>
      <c r="D35" s="106" t="s">
        <v>118</v>
      </c>
      <c r="E35" s="110" t="s">
        <v>10</v>
      </c>
      <c r="F35" s="31" t="s">
        <v>10</v>
      </c>
      <c r="G35" s="31" t="s">
        <v>10</v>
      </c>
      <c r="H35" s="31" t="s">
        <v>10</v>
      </c>
      <c r="I35" s="31" t="s">
        <v>10</v>
      </c>
      <c r="J35" s="31" t="s">
        <v>10</v>
      </c>
      <c r="L35" s="181" t="s">
        <v>189</v>
      </c>
      <c r="M35" s="182"/>
      <c r="N35" s="182"/>
      <c r="O35" s="183"/>
      <c r="P35" s="24"/>
      <c r="Q35" s="133" t="s">
        <v>192</v>
      </c>
    </row>
    <row r="36" spans="2:17" ht="16" thickBot="1" x14ac:dyDescent="0.25">
      <c r="C36" s="59" t="s">
        <v>75</v>
      </c>
      <c r="D36" s="36"/>
      <c r="E36" s="37"/>
      <c r="F36" s="37"/>
      <c r="G36" s="37"/>
      <c r="H36" s="37"/>
      <c r="I36" s="37"/>
      <c r="J36" s="115"/>
      <c r="L36" s="124" t="s">
        <v>190</v>
      </c>
      <c r="M36" s="125" t="s">
        <v>191</v>
      </c>
      <c r="N36" s="125" t="s">
        <v>160</v>
      </c>
      <c r="O36" s="126" t="s">
        <v>161</v>
      </c>
      <c r="Q36" s="134" t="str">
        <f>IF(COUNTIF(L37:O53, "✓")+COUNTIF(L37:O53, "⚠️ Not in Order")=0, "", IF(COUNTIF(L37:O53, "⚠️ Not in Order")&gt;0, "⚠️ Not in Order", "✓ All in Order"))</f>
        <v/>
      </c>
    </row>
    <row r="37" spans="2:17" x14ac:dyDescent="0.2">
      <c r="C37" s="59" t="s">
        <v>76</v>
      </c>
      <c r="D37" s="36"/>
      <c r="E37" s="37"/>
      <c r="F37" s="37"/>
      <c r="G37" s="37"/>
      <c r="H37" s="37"/>
      <c r="I37" s="37"/>
      <c r="J37" s="115"/>
      <c r="L37" s="127" t="str">
        <f>IF(OR(D14="", D13=""), "", IF(D14&gt;=D13, "✓", "⚠️ Not in Order"))</f>
        <v/>
      </c>
      <c r="M37" s="128" t="str">
        <f>IF(OR(D37="", D36=""), "", IF(D37&gt;=D36, "✓", "⚠️ Not in Order"))</f>
        <v/>
      </c>
      <c r="N37" s="128" t="str">
        <f>IF(OR(D60="", D59=""), "", IF(D60&gt;=D59, "✓", "⚠️ Not in Order"))</f>
        <v/>
      </c>
      <c r="O37" s="129" t="str">
        <f>IF(OR(D83="", D82=""), "", IF(D83&gt;=D82, "✓", "⚠️ Not in Order"))</f>
        <v/>
      </c>
    </row>
    <row r="38" spans="2:17" x14ac:dyDescent="0.2">
      <c r="C38" s="59" t="s">
        <v>77</v>
      </c>
      <c r="D38" s="36"/>
      <c r="E38" s="37"/>
      <c r="F38" s="37"/>
      <c r="G38" s="37"/>
      <c r="H38" s="37"/>
      <c r="I38" s="37"/>
      <c r="J38" s="115"/>
      <c r="L38" s="113" t="str">
        <f t="shared" ref="L38:L53" si="12">IF(OR(D15="", D14=""), "", IF(D15&gt;=D14, "✓", "⚠️ Not in Order"))</f>
        <v/>
      </c>
      <c r="M38" s="8" t="str">
        <f t="shared" ref="M38:M53" si="13">IF(OR(D38="", D37=""), "", IF(D38&gt;=D37, "✓", "⚠️ Not in Order"))</f>
        <v/>
      </c>
      <c r="N38" s="8" t="str">
        <f t="shared" ref="N38:N53" si="14">IF(OR(D61="", D60=""), "", IF(D61&gt;=D60, "✓", "⚠️ Not in Order"))</f>
        <v/>
      </c>
      <c r="O38" s="114" t="str">
        <f t="shared" ref="O38:O53" si="15">IF(OR(D84="", D83=""), "", IF(D84&gt;=D83, "✓", "⚠️ Not in Order"))</f>
        <v/>
      </c>
    </row>
    <row r="39" spans="2:17" x14ac:dyDescent="0.2">
      <c r="C39" s="59" t="s">
        <v>79</v>
      </c>
      <c r="D39" s="36"/>
      <c r="E39" s="37"/>
      <c r="F39" s="37"/>
      <c r="G39" s="37"/>
      <c r="H39" s="37"/>
      <c r="I39" s="37"/>
      <c r="J39" s="115"/>
      <c r="L39" s="113" t="str">
        <f t="shared" si="12"/>
        <v/>
      </c>
      <c r="M39" s="8" t="str">
        <f t="shared" si="13"/>
        <v/>
      </c>
      <c r="N39" s="8" t="str">
        <f t="shared" si="14"/>
        <v/>
      </c>
      <c r="O39" s="114" t="str">
        <f t="shared" si="15"/>
        <v/>
      </c>
    </row>
    <row r="40" spans="2:17" x14ac:dyDescent="0.2">
      <c r="C40" s="59" t="s">
        <v>80</v>
      </c>
      <c r="D40" s="36"/>
      <c r="E40" s="37"/>
      <c r="F40" s="37"/>
      <c r="G40" s="37"/>
      <c r="H40" s="37"/>
      <c r="I40" s="37"/>
      <c r="J40" s="115"/>
      <c r="L40" s="113" t="str">
        <f t="shared" si="12"/>
        <v/>
      </c>
      <c r="M40" s="8" t="str">
        <f t="shared" si="13"/>
        <v/>
      </c>
      <c r="N40" s="8" t="str">
        <f t="shared" si="14"/>
        <v/>
      </c>
      <c r="O40" s="114" t="str">
        <f t="shared" si="15"/>
        <v/>
      </c>
    </row>
    <row r="41" spans="2:17" x14ac:dyDescent="0.2">
      <c r="C41" s="59" t="s">
        <v>81</v>
      </c>
      <c r="D41" s="36"/>
      <c r="E41" s="37"/>
      <c r="F41" s="37"/>
      <c r="G41" s="37"/>
      <c r="H41" s="37"/>
      <c r="I41" s="37"/>
      <c r="J41" s="115"/>
      <c r="L41" s="113" t="str">
        <f t="shared" si="12"/>
        <v/>
      </c>
      <c r="M41" s="8" t="str">
        <f t="shared" si="13"/>
        <v/>
      </c>
      <c r="N41" s="8" t="str">
        <f t="shared" si="14"/>
        <v/>
      </c>
      <c r="O41" s="114" t="str">
        <f t="shared" si="15"/>
        <v/>
      </c>
    </row>
    <row r="42" spans="2:17" x14ac:dyDescent="0.2">
      <c r="C42" s="59" t="s">
        <v>82</v>
      </c>
      <c r="D42" s="36"/>
      <c r="E42" s="37"/>
      <c r="F42" s="37"/>
      <c r="G42" s="37"/>
      <c r="H42" s="37"/>
      <c r="I42" s="37"/>
      <c r="J42" s="115"/>
      <c r="L42" s="113" t="str">
        <f t="shared" si="12"/>
        <v/>
      </c>
      <c r="M42" s="8" t="str">
        <f t="shared" si="13"/>
        <v/>
      </c>
      <c r="N42" s="8" t="str">
        <f t="shared" si="14"/>
        <v/>
      </c>
      <c r="O42" s="114" t="str">
        <f t="shared" si="15"/>
        <v/>
      </c>
    </row>
    <row r="43" spans="2:17" x14ac:dyDescent="0.2">
      <c r="C43" s="59" t="s">
        <v>83</v>
      </c>
      <c r="D43" s="36"/>
      <c r="E43" s="37"/>
      <c r="F43" s="37"/>
      <c r="G43" s="37"/>
      <c r="H43" s="37"/>
      <c r="I43" s="37"/>
      <c r="J43" s="115"/>
      <c r="L43" s="113" t="str">
        <f t="shared" si="12"/>
        <v/>
      </c>
      <c r="M43" s="8" t="str">
        <f t="shared" si="13"/>
        <v/>
      </c>
      <c r="N43" s="8" t="str">
        <f t="shared" si="14"/>
        <v/>
      </c>
      <c r="O43" s="114" t="str">
        <f t="shared" si="15"/>
        <v/>
      </c>
    </row>
    <row r="44" spans="2:17" x14ac:dyDescent="0.2">
      <c r="C44" s="59" t="s">
        <v>84</v>
      </c>
      <c r="D44" s="36"/>
      <c r="E44" s="37"/>
      <c r="F44" s="37"/>
      <c r="G44" s="37"/>
      <c r="H44" s="37"/>
      <c r="I44" s="37"/>
      <c r="J44" s="115"/>
      <c r="L44" s="113" t="str">
        <f t="shared" si="12"/>
        <v/>
      </c>
      <c r="M44" s="8" t="str">
        <f t="shared" si="13"/>
        <v/>
      </c>
      <c r="N44" s="8" t="str">
        <f t="shared" si="14"/>
        <v/>
      </c>
      <c r="O44" s="114" t="str">
        <f t="shared" si="15"/>
        <v/>
      </c>
    </row>
    <row r="45" spans="2:17" x14ac:dyDescent="0.2">
      <c r="C45" s="59" t="s">
        <v>174</v>
      </c>
      <c r="D45" s="36"/>
      <c r="E45" s="37"/>
      <c r="F45" s="37"/>
      <c r="G45" s="37"/>
      <c r="H45" s="37"/>
      <c r="I45" s="37"/>
      <c r="J45" s="115"/>
      <c r="L45" s="113" t="str">
        <f t="shared" si="12"/>
        <v/>
      </c>
      <c r="M45" s="8" t="str">
        <f t="shared" si="13"/>
        <v/>
      </c>
      <c r="N45" s="8" t="str">
        <f t="shared" si="14"/>
        <v/>
      </c>
      <c r="O45" s="114" t="str">
        <f t="shared" si="15"/>
        <v/>
      </c>
    </row>
    <row r="46" spans="2:17" x14ac:dyDescent="0.2">
      <c r="C46" s="59" t="s">
        <v>175</v>
      </c>
      <c r="D46" s="36"/>
      <c r="E46" s="37"/>
      <c r="F46" s="37"/>
      <c r="G46" s="37"/>
      <c r="H46" s="37"/>
      <c r="I46" s="37"/>
      <c r="J46" s="115"/>
      <c r="L46" s="113" t="str">
        <f t="shared" si="12"/>
        <v/>
      </c>
      <c r="M46" s="8" t="str">
        <f t="shared" si="13"/>
        <v/>
      </c>
      <c r="N46" s="8" t="str">
        <f t="shared" si="14"/>
        <v/>
      </c>
      <c r="O46" s="114" t="str">
        <f t="shared" si="15"/>
        <v/>
      </c>
    </row>
    <row r="47" spans="2:17" x14ac:dyDescent="0.2">
      <c r="C47" s="59" t="s">
        <v>176</v>
      </c>
      <c r="D47" s="36"/>
      <c r="E47" s="37"/>
      <c r="F47" s="37"/>
      <c r="G47" s="37"/>
      <c r="H47" s="37"/>
      <c r="I47" s="37"/>
      <c r="J47" s="115"/>
      <c r="L47" s="113" t="str">
        <f t="shared" si="12"/>
        <v/>
      </c>
      <c r="M47" s="8" t="str">
        <f t="shared" si="13"/>
        <v/>
      </c>
      <c r="N47" s="8" t="str">
        <f t="shared" si="14"/>
        <v/>
      </c>
      <c r="O47" s="114" t="str">
        <f t="shared" si="15"/>
        <v/>
      </c>
    </row>
    <row r="48" spans="2:17" x14ac:dyDescent="0.2">
      <c r="C48" s="59" t="s">
        <v>177</v>
      </c>
      <c r="D48" s="36"/>
      <c r="E48" s="37"/>
      <c r="F48" s="37"/>
      <c r="G48" s="37"/>
      <c r="H48" s="37"/>
      <c r="I48" s="37"/>
      <c r="J48" s="115"/>
      <c r="L48" s="113" t="str">
        <f t="shared" si="12"/>
        <v/>
      </c>
      <c r="M48" s="8" t="str">
        <f t="shared" si="13"/>
        <v/>
      </c>
      <c r="N48" s="8" t="str">
        <f t="shared" si="14"/>
        <v/>
      </c>
      <c r="O48" s="114" t="str">
        <f t="shared" si="15"/>
        <v/>
      </c>
    </row>
    <row r="49" spans="2:15" x14ac:dyDescent="0.2">
      <c r="C49" s="59" t="s">
        <v>178</v>
      </c>
      <c r="D49" s="36"/>
      <c r="E49" s="37"/>
      <c r="F49" s="37"/>
      <c r="G49" s="37"/>
      <c r="H49" s="37"/>
      <c r="I49" s="37"/>
      <c r="J49" s="115"/>
      <c r="L49" s="113" t="str">
        <f t="shared" si="12"/>
        <v/>
      </c>
      <c r="M49" s="8" t="str">
        <f t="shared" si="13"/>
        <v/>
      </c>
      <c r="N49" s="8" t="str">
        <f t="shared" si="14"/>
        <v/>
      </c>
      <c r="O49" s="114" t="str">
        <f t="shared" si="15"/>
        <v/>
      </c>
    </row>
    <row r="50" spans="2:15" x14ac:dyDescent="0.2">
      <c r="C50" s="59" t="s">
        <v>179</v>
      </c>
      <c r="D50" s="36"/>
      <c r="E50" s="37"/>
      <c r="F50" s="37"/>
      <c r="G50" s="37"/>
      <c r="H50" s="37"/>
      <c r="I50" s="37"/>
      <c r="J50" s="115"/>
      <c r="L50" s="113" t="str">
        <f t="shared" si="12"/>
        <v/>
      </c>
      <c r="M50" s="8" t="str">
        <f t="shared" si="13"/>
        <v/>
      </c>
      <c r="N50" s="8" t="str">
        <f t="shared" si="14"/>
        <v/>
      </c>
      <c r="O50" s="114" t="str">
        <f t="shared" si="15"/>
        <v/>
      </c>
    </row>
    <row r="51" spans="2:15" x14ac:dyDescent="0.2">
      <c r="C51" s="59" t="s">
        <v>180</v>
      </c>
      <c r="D51" s="36"/>
      <c r="E51" s="37"/>
      <c r="F51" s="37"/>
      <c r="G51" s="37"/>
      <c r="H51" s="37"/>
      <c r="I51" s="37"/>
      <c r="J51" s="115"/>
      <c r="L51" s="113" t="str">
        <f t="shared" si="12"/>
        <v/>
      </c>
      <c r="M51" s="8" t="str">
        <f t="shared" si="13"/>
        <v/>
      </c>
      <c r="N51" s="8" t="str">
        <f t="shared" si="14"/>
        <v/>
      </c>
      <c r="O51" s="114" t="str">
        <f t="shared" si="15"/>
        <v/>
      </c>
    </row>
    <row r="52" spans="2:15" x14ac:dyDescent="0.2">
      <c r="C52" s="59" t="s">
        <v>181</v>
      </c>
      <c r="D52" s="36"/>
      <c r="E52" s="37"/>
      <c r="F52" s="37"/>
      <c r="G52" s="37"/>
      <c r="H52" s="37"/>
      <c r="I52" s="37"/>
      <c r="J52" s="115"/>
      <c r="L52" s="113" t="str">
        <f t="shared" si="12"/>
        <v/>
      </c>
      <c r="M52" s="8" t="str">
        <f t="shared" si="13"/>
        <v/>
      </c>
      <c r="N52" s="8" t="str">
        <f t="shared" si="14"/>
        <v/>
      </c>
      <c r="O52" s="114" t="str">
        <f t="shared" si="15"/>
        <v/>
      </c>
    </row>
    <row r="53" spans="2:15" ht="16" thickBot="1" x14ac:dyDescent="0.25">
      <c r="C53" s="60" t="s">
        <v>182</v>
      </c>
      <c r="D53" s="39"/>
      <c r="E53" s="40"/>
      <c r="F53" s="40"/>
      <c r="G53" s="40"/>
      <c r="H53" s="40"/>
      <c r="I53" s="40"/>
      <c r="J53" s="116"/>
      <c r="L53" s="130" t="str">
        <f t="shared" si="12"/>
        <v/>
      </c>
      <c r="M53" s="131" t="str">
        <f t="shared" si="13"/>
        <v/>
      </c>
      <c r="N53" s="131" t="str">
        <f t="shared" si="14"/>
        <v/>
      </c>
      <c r="O53" s="132" t="str">
        <f t="shared" si="15"/>
        <v/>
      </c>
    </row>
    <row r="54" spans="2:15" ht="16" thickBot="1" x14ac:dyDescent="0.25"/>
    <row r="55" spans="2:15" ht="16" thickBot="1" x14ac:dyDescent="0.25">
      <c r="E55" s="168" t="s">
        <v>117</v>
      </c>
      <c r="F55" s="170"/>
      <c r="G55" s="170"/>
      <c r="H55" s="170"/>
      <c r="I55" s="170"/>
      <c r="J55" s="169"/>
    </row>
    <row r="56" spans="2:15" ht="16" thickBot="1" x14ac:dyDescent="0.25">
      <c r="E56" s="55">
        <v>1</v>
      </c>
      <c r="F56" s="56">
        <v>2</v>
      </c>
      <c r="G56" s="56">
        <v>3</v>
      </c>
      <c r="H56" s="56">
        <v>4</v>
      </c>
      <c r="I56" s="57">
        <v>5</v>
      </c>
      <c r="J56" s="57">
        <v>6</v>
      </c>
    </row>
    <row r="57" spans="2:15" ht="16" thickBot="1" x14ac:dyDescent="0.25">
      <c r="E57" s="112"/>
      <c r="F57" s="112"/>
      <c r="G57" s="112"/>
      <c r="H57" s="112"/>
      <c r="I57" s="112"/>
      <c r="J57" s="112"/>
    </row>
    <row r="58" spans="2:15" x14ac:dyDescent="0.2">
      <c r="B58" s="24"/>
      <c r="C58" s="96" t="s">
        <v>78</v>
      </c>
      <c r="D58" s="106" t="s">
        <v>118</v>
      </c>
      <c r="E58" s="106" t="s">
        <v>10</v>
      </c>
      <c r="F58" s="106" t="s">
        <v>10</v>
      </c>
      <c r="G58" s="106" t="s">
        <v>10</v>
      </c>
      <c r="H58" s="106" t="s">
        <v>10</v>
      </c>
      <c r="I58" s="106" t="s">
        <v>10</v>
      </c>
      <c r="J58" s="107" t="s">
        <v>10</v>
      </c>
    </row>
    <row r="59" spans="2:15" x14ac:dyDescent="0.2">
      <c r="C59" s="59" t="s">
        <v>75</v>
      </c>
      <c r="D59" s="36"/>
      <c r="E59" s="37"/>
      <c r="F59" s="37"/>
      <c r="G59" s="37"/>
      <c r="H59" s="37"/>
      <c r="I59" s="37"/>
      <c r="J59" s="115"/>
    </row>
    <row r="60" spans="2:15" x14ac:dyDescent="0.2">
      <c r="C60" s="59" t="s">
        <v>76</v>
      </c>
      <c r="D60" s="36"/>
      <c r="E60" s="37"/>
      <c r="F60" s="37"/>
      <c r="G60" s="37"/>
      <c r="H60" s="37"/>
      <c r="I60" s="37"/>
      <c r="J60" s="115"/>
    </row>
    <row r="61" spans="2:15" x14ac:dyDescent="0.2">
      <c r="C61" s="59" t="s">
        <v>77</v>
      </c>
      <c r="D61" s="36"/>
      <c r="E61" s="37"/>
      <c r="F61" s="37"/>
      <c r="G61" s="37"/>
      <c r="H61" s="37"/>
      <c r="I61" s="37"/>
      <c r="J61" s="115"/>
    </row>
    <row r="62" spans="2:15" x14ac:dyDescent="0.2">
      <c r="C62" s="59" t="s">
        <v>79</v>
      </c>
      <c r="D62" s="36"/>
      <c r="E62" s="37"/>
      <c r="F62" s="37"/>
      <c r="G62" s="37"/>
      <c r="H62" s="37"/>
      <c r="I62" s="37"/>
      <c r="J62" s="115"/>
    </row>
    <row r="63" spans="2:15" x14ac:dyDescent="0.2">
      <c r="C63" s="59" t="s">
        <v>80</v>
      </c>
      <c r="D63" s="36"/>
      <c r="E63" s="37"/>
      <c r="F63" s="37"/>
      <c r="G63" s="37"/>
      <c r="H63" s="37"/>
      <c r="I63" s="37"/>
      <c r="J63" s="115"/>
    </row>
    <row r="64" spans="2:15" x14ac:dyDescent="0.2">
      <c r="C64" s="59" t="s">
        <v>81</v>
      </c>
      <c r="D64" s="36"/>
      <c r="E64" s="37"/>
      <c r="F64" s="37"/>
      <c r="G64" s="37"/>
      <c r="H64" s="37"/>
      <c r="I64" s="37"/>
      <c r="J64" s="115"/>
    </row>
    <row r="65" spans="3:10" x14ac:dyDescent="0.2">
      <c r="C65" s="59" t="s">
        <v>82</v>
      </c>
      <c r="D65" s="36"/>
      <c r="E65" s="37"/>
      <c r="F65" s="37"/>
      <c r="G65" s="37"/>
      <c r="H65" s="37"/>
      <c r="I65" s="37"/>
      <c r="J65" s="115"/>
    </row>
    <row r="66" spans="3:10" x14ac:dyDescent="0.2">
      <c r="C66" s="59" t="s">
        <v>83</v>
      </c>
      <c r="D66" s="36"/>
      <c r="E66" s="37"/>
      <c r="F66" s="37"/>
      <c r="G66" s="37"/>
      <c r="H66" s="37"/>
      <c r="I66" s="37"/>
      <c r="J66" s="115"/>
    </row>
    <row r="67" spans="3:10" x14ac:dyDescent="0.2">
      <c r="C67" s="59" t="s">
        <v>84</v>
      </c>
      <c r="D67" s="36"/>
      <c r="E67" s="37"/>
      <c r="F67" s="37"/>
      <c r="G67" s="37"/>
      <c r="H67" s="37"/>
      <c r="I67" s="37"/>
      <c r="J67" s="115"/>
    </row>
    <row r="68" spans="3:10" x14ac:dyDescent="0.2">
      <c r="C68" s="59" t="s">
        <v>174</v>
      </c>
      <c r="D68" s="36"/>
      <c r="E68" s="37"/>
      <c r="F68" s="37"/>
      <c r="G68" s="37"/>
      <c r="H68" s="37"/>
      <c r="I68" s="37"/>
      <c r="J68" s="115"/>
    </row>
    <row r="69" spans="3:10" x14ac:dyDescent="0.2">
      <c r="C69" s="59" t="s">
        <v>175</v>
      </c>
      <c r="D69" s="36"/>
      <c r="E69" s="37"/>
      <c r="F69" s="37"/>
      <c r="G69" s="37"/>
      <c r="H69" s="37"/>
      <c r="I69" s="37"/>
      <c r="J69" s="115"/>
    </row>
    <row r="70" spans="3:10" x14ac:dyDescent="0.2">
      <c r="C70" s="59" t="s">
        <v>176</v>
      </c>
      <c r="D70" s="36"/>
      <c r="E70" s="37"/>
      <c r="F70" s="37"/>
      <c r="G70" s="37"/>
      <c r="H70" s="37"/>
      <c r="I70" s="37"/>
      <c r="J70" s="115"/>
    </row>
    <row r="71" spans="3:10" x14ac:dyDescent="0.2">
      <c r="C71" s="59" t="s">
        <v>177</v>
      </c>
      <c r="D71" s="36"/>
      <c r="E71" s="37"/>
      <c r="F71" s="37"/>
      <c r="G71" s="37"/>
      <c r="H71" s="37"/>
      <c r="I71" s="37"/>
      <c r="J71" s="115"/>
    </row>
    <row r="72" spans="3:10" x14ac:dyDescent="0.2">
      <c r="C72" s="59" t="s">
        <v>178</v>
      </c>
      <c r="D72" s="36"/>
      <c r="E72" s="37"/>
      <c r="F72" s="37"/>
      <c r="G72" s="37"/>
      <c r="H72" s="37"/>
      <c r="I72" s="37"/>
      <c r="J72" s="115"/>
    </row>
    <row r="73" spans="3:10" x14ac:dyDescent="0.2">
      <c r="C73" s="59" t="s">
        <v>179</v>
      </c>
      <c r="D73" s="36"/>
      <c r="E73" s="37"/>
      <c r="F73" s="37"/>
      <c r="G73" s="37"/>
      <c r="H73" s="37"/>
      <c r="I73" s="37"/>
      <c r="J73" s="115"/>
    </row>
    <row r="74" spans="3:10" x14ac:dyDescent="0.2">
      <c r="C74" s="59" t="s">
        <v>180</v>
      </c>
      <c r="D74" s="36"/>
      <c r="E74" s="37"/>
      <c r="F74" s="37"/>
      <c r="G74" s="37"/>
      <c r="H74" s="37"/>
      <c r="I74" s="37"/>
      <c r="J74" s="115"/>
    </row>
    <row r="75" spans="3:10" x14ac:dyDescent="0.2">
      <c r="C75" s="59" t="s">
        <v>181</v>
      </c>
      <c r="D75" s="36"/>
      <c r="E75" s="37"/>
      <c r="F75" s="37"/>
      <c r="G75" s="37"/>
      <c r="H75" s="37"/>
      <c r="I75" s="37"/>
      <c r="J75" s="115"/>
    </row>
    <row r="76" spans="3:10" ht="16" thickBot="1" x14ac:dyDescent="0.25">
      <c r="C76" s="60" t="s">
        <v>182</v>
      </c>
      <c r="D76" s="39"/>
      <c r="E76" s="40"/>
      <c r="F76" s="40"/>
      <c r="G76" s="40"/>
      <c r="H76" s="40"/>
      <c r="I76" s="40"/>
      <c r="J76" s="116"/>
    </row>
    <row r="77" spans="3:10" ht="16" thickBot="1" x14ac:dyDescent="0.25"/>
    <row r="78" spans="3:10" ht="16" thickBot="1" x14ac:dyDescent="0.25">
      <c r="E78" s="168" t="s">
        <v>130</v>
      </c>
      <c r="F78" s="170"/>
      <c r="G78" s="170"/>
      <c r="H78" s="170"/>
      <c r="I78" s="170"/>
      <c r="J78" s="169"/>
    </row>
    <row r="79" spans="3:10" ht="16" thickBot="1" x14ac:dyDescent="0.25">
      <c r="E79" s="55">
        <v>1</v>
      </c>
      <c r="F79" s="56">
        <v>2</v>
      </c>
      <c r="G79" s="56">
        <v>3</v>
      </c>
      <c r="H79" s="56">
        <v>4</v>
      </c>
      <c r="I79" s="57">
        <v>5</v>
      </c>
      <c r="J79" s="57">
        <v>6</v>
      </c>
    </row>
    <row r="80" spans="3:10" ht="16" thickBot="1" x14ac:dyDescent="0.25">
      <c r="E80" s="112"/>
      <c r="F80" s="112"/>
      <c r="G80" s="112"/>
      <c r="H80" s="112"/>
      <c r="I80" s="112"/>
      <c r="J80" s="112"/>
    </row>
    <row r="81" spans="2:10" x14ac:dyDescent="0.2">
      <c r="B81" s="24"/>
      <c r="C81" s="96" t="s">
        <v>78</v>
      </c>
      <c r="D81" s="106" t="s">
        <v>118</v>
      </c>
      <c r="E81" s="106" t="s">
        <v>10</v>
      </c>
      <c r="F81" s="106" t="s">
        <v>10</v>
      </c>
      <c r="G81" s="106" t="s">
        <v>10</v>
      </c>
      <c r="H81" s="106" t="s">
        <v>10</v>
      </c>
      <c r="I81" s="106" t="s">
        <v>10</v>
      </c>
      <c r="J81" s="107" t="s">
        <v>10</v>
      </c>
    </row>
    <row r="82" spans="2:10" x14ac:dyDescent="0.2">
      <c r="C82" s="59" t="s">
        <v>75</v>
      </c>
      <c r="D82" s="36"/>
      <c r="E82" s="37"/>
      <c r="F82" s="37"/>
      <c r="G82" s="37"/>
      <c r="H82" s="37"/>
      <c r="I82" s="37"/>
      <c r="J82" s="115"/>
    </row>
    <row r="83" spans="2:10" x14ac:dyDescent="0.2">
      <c r="C83" s="59" t="s">
        <v>76</v>
      </c>
      <c r="D83" s="36"/>
      <c r="E83" s="37"/>
      <c r="F83" s="37"/>
      <c r="G83" s="37"/>
      <c r="H83" s="37"/>
      <c r="I83" s="37"/>
      <c r="J83" s="115"/>
    </row>
    <row r="84" spans="2:10" x14ac:dyDescent="0.2">
      <c r="C84" s="59" t="s">
        <v>77</v>
      </c>
      <c r="D84" s="36"/>
      <c r="E84" s="37"/>
      <c r="F84" s="37"/>
      <c r="G84" s="37"/>
      <c r="H84" s="37"/>
      <c r="I84" s="37"/>
      <c r="J84" s="115"/>
    </row>
    <row r="85" spans="2:10" x14ac:dyDescent="0.2">
      <c r="C85" s="59" t="s">
        <v>79</v>
      </c>
      <c r="D85" s="36"/>
      <c r="E85" s="37"/>
      <c r="F85" s="37"/>
      <c r="G85" s="37"/>
      <c r="H85" s="37"/>
      <c r="I85" s="37"/>
      <c r="J85" s="115"/>
    </row>
    <row r="86" spans="2:10" x14ac:dyDescent="0.2">
      <c r="C86" s="59" t="s">
        <v>80</v>
      </c>
      <c r="D86" s="36"/>
      <c r="E86" s="37"/>
      <c r="F86" s="37"/>
      <c r="G86" s="37"/>
      <c r="H86" s="37"/>
      <c r="I86" s="37"/>
      <c r="J86" s="115"/>
    </row>
    <row r="87" spans="2:10" x14ac:dyDescent="0.2">
      <c r="C87" s="59" t="s">
        <v>81</v>
      </c>
      <c r="D87" s="36"/>
      <c r="E87" s="37"/>
      <c r="F87" s="37"/>
      <c r="G87" s="37"/>
      <c r="H87" s="37"/>
      <c r="I87" s="37"/>
      <c r="J87" s="115"/>
    </row>
    <row r="88" spans="2:10" x14ac:dyDescent="0.2">
      <c r="C88" s="59" t="s">
        <v>82</v>
      </c>
      <c r="D88" s="36"/>
      <c r="E88" s="37"/>
      <c r="F88" s="37"/>
      <c r="G88" s="37"/>
      <c r="H88" s="37"/>
      <c r="I88" s="37"/>
      <c r="J88" s="115"/>
    </row>
    <row r="89" spans="2:10" x14ac:dyDescent="0.2">
      <c r="C89" s="59" t="s">
        <v>83</v>
      </c>
      <c r="D89" s="36"/>
      <c r="E89" s="37"/>
      <c r="F89" s="37"/>
      <c r="G89" s="37"/>
      <c r="H89" s="37"/>
      <c r="I89" s="37"/>
      <c r="J89" s="115"/>
    </row>
    <row r="90" spans="2:10" x14ac:dyDescent="0.2">
      <c r="C90" s="59" t="s">
        <v>84</v>
      </c>
      <c r="D90" s="36"/>
      <c r="E90" s="37"/>
      <c r="F90" s="37"/>
      <c r="G90" s="37"/>
      <c r="H90" s="37"/>
      <c r="I90" s="37"/>
      <c r="J90" s="115"/>
    </row>
    <row r="91" spans="2:10" x14ac:dyDescent="0.2">
      <c r="C91" s="59" t="s">
        <v>174</v>
      </c>
      <c r="D91" s="36"/>
      <c r="E91" s="37"/>
      <c r="F91" s="37"/>
      <c r="G91" s="37"/>
      <c r="H91" s="37"/>
      <c r="I91" s="37"/>
      <c r="J91" s="115"/>
    </row>
    <row r="92" spans="2:10" x14ac:dyDescent="0.2">
      <c r="C92" s="59" t="s">
        <v>175</v>
      </c>
      <c r="D92" s="36"/>
      <c r="E92" s="37"/>
      <c r="F92" s="37"/>
      <c r="G92" s="37"/>
      <c r="H92" s="37"/>
      <c r="I92" s="37"/>
      <c r="J92" s="115"/>
    </row>
    <row r="93" spans="2:10" x14ac:dyDescent="0.2">
      <c r="C93" s="59" t="s">
        <v>176</v>
      </c>
      <c r="D93" s="36"/>
      <c r="E93" s="37"/>
      <c r="F93" s="37"/>
      <c r="G93" s="37"/>
      <c r="H93" s="37"/>
      <c r="I93" s="37"/>
      <c r="J93" s="115"/>
    </row>
    <row r="94" spans="2:10" x14ac:dyDescent="0.2">
      <c r="C94" s="59" t="s">
        <v>177</v>
      </c>
      <c r="D94" s="36"/>
      <c r="E94" s="37"/>
      <c r="F94" s="37"/>
      <c r="G94" s="37"/>
      <c r="H94" s="37"/>
      <c r="I94" s="37"/>
      <c r="J94" s="115"/>
    </row>
    <row r="95" spans="2:10" x14ac:dyDescent="0.2">
      <c r="C95" s="59" t="s">
        <v>178</v>
      </c>
      <c r="D95" s="36"/>
      <c r="E95" s="37"/>
      <c r="F95" s="37"/>
      <c r="G95" s="37"/>
      <c r="H95" s="37"/>
      <c r="I95" s="37"/>
      <c r="J95" s="115"/>
    </row>
    <row r="96" spans="2:10" x14ac:dyDescent="0.2">
      <c r="C96" s="59" t="s">
        <v>179</v>
      </c>
      <c r="D96" s="36"/>
      <c r="E96" s="37"/>
      <c r="F96" s="37"/>
      <c r="G96" s="37"/>
      <c r="H96" s="37"/>
      <c r="I96" s="37"/>
      <c r="J96" s="115"/>
    </row>
    <row r="97" spans="3:10" x14ac:dyDescent="0.2">
      <c r="C97" s="59" t="s">
        <v>180</v>
      </c>
      <c r="D97" s="36"/>
      <c r="E97" s="37"/>
      <c r="F97" s="37"/>
      <c r="G97" s="37"/>
      <c r="H97" s="37"/>
      <c r="I97" s="37"/>
      <c r="J97" s="115"/>
    </row>
    <row r="98" spans="3:10" x14ac:dyDescent="0.2">
      <c r="C98" s="59" t="s">
        <v>181</v>
      </c>
      <c r="D98" s="36"/>
      <c r="E98" s="37"/>
      <c r="F98" s="37"/>
      <c r="G98" s="37"/>
      <c r="H98" s="37"/>
      <c r="I98" s="37"/>
      <c r="J98" s="115"/>
    </row>
    <row r="99" spans="3:10" ht="16" thickBot="1" x14ac:dyDescent="0.25">
      <c r="C99" s="60" t="s">
        <v>182</v>
      </c>
      <c r="D99" s="39"/>
      <c r="E99" s="40"/>
      <c r="F99" s="40"/>
      <c r="G99" s="40"/>
      <c r="H99" s="40"/>
      <c r="I99" s="40"/>
      <c r="J99" s="116"/>
    </row>
  </sheetData>
  <sheetProtection algorithmName="SHA-512" hashValue="xQYVTamHIQf4Xj+q/TfCVfxXL3Uk8Pn389WNd0GB95sr3z3tOrjelBA5PZz/vKb/fz4O9rCGhfbDkgr3pRmO/g==" saltValue="e5HY0EP2dk+Fu0lepEa+SQ==" spinCount="100000" sheet="1" selectLockedCells="1"/>
  <mergeCells count="6">
    <mergeCell ref="L11:Q11"/>
    <mergeCell ref="E78:J78"/>
    <mergeCell ref="E9:J9"/>
    <mergeCell ref="E32:J32"/>
    <mergeCell ref="E55:J55"/>
    <mergeCell ref="L35:O35"/>
  </mergeCells>
  <phoneticPr fontId="5" type="noConversion"/>
  <dataValidations count="11">
    <dataValidation type="list" allowBlank="1" showInputMessage="1" showErrorMessage="1" errorTitle="GBO" error="Choose from list" promptTitle="GBO" prompt="Select type from drop down list" sqref="E11:J11 E34:J34 E57:J57 E80:J80" xr:uid="{F5DBF802-7A7E-4881-B4CD-C4D3D22BC5E2}">
      <formula1>"Emotional, Behavioural, Relational, Regulatory Capacity, Trauma Recovery, Self Esteem/Confidence"</formula1>
    </dataValidation>
    <dataValidation type="decimal" allowBlank="1" showInputMessage="1" showErrorMessage="1" sqref="E36:J53 E13:J30 E82:J99 E59:J76" xr:uid="{930A6086-A4E8-447A-9901-DB3615540C12}">
      <formula1>0</formula1>
      <formula2>10</formula2>
    </dataValidation>
    <dataValidation type="decimal" allowBlank="1" showInputMessage="1" showErrorMessage="1" promptTitle="Input from Self Form" prompt="0 - No Progress_x000a_5 - Half Way_x000a_10 - Goal Met_x000a__x000a_0.5 increments can be used" sqref="E81:J81" xr:uid="{8A33AF57-51FB-4235-BB28-FFD914F14AA5}">
      <formula1>0</formula1>
      <formula2>10</formula2>
    </dataValidation>
    <dataValidation type="date" allowBlank="1" showInputMessage="1" showErrorMessage="1" promptTitle="Input Period DD/MM/YY" prompt="Date form completed" sqref="D59:D76 D36:D53 D13:D30 D82:D99" xr:uid="{6C087818-D21B-4EC9-9F6B-888F970E2AA9}">
      <formula1>45170</formula1>
      <formula2>49552</formula2>
    </dataValidation>
    <dataValidation type="textLength" allowBlank="1" showInputMessage="1" showErrorMessage="1" promptTitle="Input Initials of Parent" prompt="For reporting consistency only" sqref="D9 D32" xr:uid="{D7515343-6816-4562-924A-56C32E5F1673}">
      <formula1>2</formula1>
      <formula2>4</formula2>
    </dataValidation>
    <dataValidation allowBlank="1" showInputMessage="1" showErrorMessage="1" promptTitle="Consecutive Data Check" prompt="Checks if there is data input for a GBO that it has at least 3 consecutive data points across the 4 forms" sqref="L33" xr:uid="{DB30DA49-1B4E-4234-A0FB-AA3FA3397688}"/>
    <dataValidation allowBlank="1" showInputMessage="1" showErrorMessage="1" promptTitle="Input from Parent/Carer Form" prompt="0 - No Progress_x000a_5 - Half Way_x000a_10 - Goal Met_x000a__x000a_0.5 increments can be used" sqref="E12:J12 E35:J35" xr:uid="{9A39193D-0634-47B8-8BE8-1C17572683CF}"/>
    <dataValidation allowBlank="1" showInputMessage="1" showErrorMessage="1" promptTitle="Input from School Form" prompt="0 - No Progress_x000a_5 - Half Way_x000a_10 - Goal Met_x000a__x000a_0.5 increments can be used" sqref="E58:J58" xr:uid="{B86160CF-7B36-4FD8-8DA3-ACB4AEE191D1}"/>
    <dataValidation allowBlank="1" showInputMessage="1" showErrorMessage="1" promptTitle="Data Validation" prompt="Summarises if there is input per GBO by period" sqref="L11:Q11" xr:uid="{AD57E132-8E06-4C29-9BD4-A194C0BD318E}"/>
    <dataValidation allowBlank="1" showInputMessage="1" showErrorMessage="1" promptTitle="Consecutive Data Checks" prompt="Checks if there is data input for a GBO that it has at least 3 consecutive data points across the 4 forms" sqref="M33:Q33" xr:uid="{8E567A6D-7B81-48E8-8548-59D298CBD274}"/>
    <dataValidation allowBlank="1" showInputMessage="1" showErrorMessage="1" promptTitle="Data Check" prompt="Checks if there is data input for a GBO across any of the four forms" sqref="L13:Q30" xr:uid="{E48AB08E-0B28-4446-9B48-58F92934B960}"/>
  </dataValidations>
  <pageMargins left="0.7" right="0.7" top="0.75" bottom="0.75" header="0.3" footer="0.3"/>
  <pageSetup scale="55" fitToHeight="2" orientation="landscape" r:id="rId1"/>
  <rowBreaks count="1" manualBreakCount="1">
    <brk id="54"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A94D4-22FC-49BD-86F6-BC39E78434BB}">
  <sheetPr>
    <pageSetUpPr fitToPage="1"/>
  </sheetPr>
  <dimension ref="B2:R130"/>
  <sheetViews>
    <sheetView showGridLines="0" zoomScaleNormal="100" workbookViewId="0">
      <selection activeCell="K49" sqref="K49"/>
    </sheetView>
  </sheetViews>
  <sheetFormatPr baseColWidth="10" defaultColWidth="9.1640625" defaultRowHeight="15" x14ac:dyDescent="0.2"/>
  <cols>
    <col min="1" max="1" width="9.1640625" style="18"/>
    <col min="2" max="2" width="7.33203125" style="18" customWidth="1"/>
    <col min="3" max="3" width="27.83203125" style="18" bestFit="1" customWidth="1"/>
    <col min="4" max="4" width="45.6640625" style="18" customWidth="1"/>
    <col min="5" max="5" width="13.33203125" style="18" customWidth="1"/>
    <col min="6" max="6" width="13" style="18" customWidth="1"/>
    <col min="7" max="7" width="13.5" style="18" customWidth="1"/>
    <col min="8" max="9" width="9.1640625" style="18"/>
    <col min="10" max="10" width="21.6640625" style="18" customWidth="1"/>
    <col min="11" max="11" width="19.5" style="18" bestFit="1" customWidth="1"/>
    <col min="12" max="12" width="19.83203125" style="18" bestFit="1" customWidth="1"/>
    <col min="13" max="13" width="16.1640625" style="18" customWidth="1"/>
    <col min="14" max="14" width="14.5" style="18" customWidth="1"/>
    <col min="15" max="15" width="13.1640625" style="18" customWidth="1"/>
    <col min="16" max="17" width="13.5" style="18" customWidth="1"/>
    <col min="18" max="16384" width="9.1640625" style="18"/>
  </cols>
  <sheetData>
    <row r="2" spans="2:18" x14ac:dyDescent="0.2">
      <c r="C2" s="24" t="s">
        <v>126</v>
      </c>
      <c r="D2" s="18" t="s">
        <v>163</v>
      </c>
    </row>
    <row r="3" spans="2:18" x14ac:dyDescent="0.2">
      <c r="C3" s="24"/>
      <c r="D3" s="18" t="s">
        <v>164</v>
      </c>
    </row>
    <row r="4" spans="2:18" x14ac:dyDescent="0.2">
      <c r="C4" s="24"/>
      <c r="D4" s="18" t="s">
        <v>165</v>
      </c>
    </row>
    <row r="5" spans="2:18" ht="16" thickBot="1" x14ac:dyDescent="0.25">
      <c r="C5" s="24"/>
      <c r="D5" s="24"/>
    </row>
    <row r="6" spans="2:18" ht="16" thickBot="1" x14ac:dyDescent="0.25">
      <c r="C6" s="24" t="s">
        <v>104</v>
      </c>
      <c r="D6" s="27"/>
      <c r="E6" s="26"/>
    </row>
    <row r="7" spans="2:18" ht="16" thickBot="1" x14ac:dyDescent="0.25"/>
    <row r="8" spans="2:18" ht="16" thickBot="1" x14ac:dyDescent="0.25">
      <c r="B8" s="139" t="s">
        <v>200</v>
      </c>
      <c r="C8" s="139"/>
      <c r="D8" s="89"/>
      <c r="E8" s="18" t="s">
        <v>199</v>
      </c>
    </row>
    <row r="10" spans="2:18" x14ac:dyDescent="0.2">
      <c r="C10" s="61" t="s">
        <v>2</v>
      </c>
      <c r="D10" s="61" t="s">
        <v>7</v>
      </c>
      <c r="E10" s="61" t="s">
        <v>8</v>
      </c>
      <c r="F10" s="61" t="s">
        <v>9</v>
      </c>
      <c r="G10" s="61" t="b">
        <v>1</v>
      </c>
    </row>
    <row r="11" spans="2:18" x14ac:dyDescent="0.2">
      <c r="C11" s="62"/>
      <c r="D11" s="63" t="s">
        <v>10</v>
      </c>
      <c r="E11" s="33" t="s">
        <v>11</v>
      </c>
      <c r="F11" s="33">
        <v>1</v>
      </c>
      <c r="G11" s="33" t="s">
        <v>12</v>
      </c>
      <c r="J11" s="18" t="s">
        <v>184</v>
      </c>
    </row>
    <row r="12" spans="2:18" x14ac:dyDescent="0.2">
      <c r="C12" s="62" t="s">
        <v>13</v>
      </c>
      <c r="D12" s="64" t="s">
        <v>14</v>
      </c>
      <c r="E12" s="95"/>
      <c r="F12" s="95"/>
      <c r="G12" s="95"/>
    </row>
    <row r="13" spans="2:18" x14ac:dyDescent="0.2">
      <c r="C13" s="62" t="s">
        <v>15</v>
      </c>
      <c r="D13" s="64" t="s">
        <v>16</v>
      </c>
      <c r="E13" s="95"/>
      <c r="F13" s="95"/>
      <c r="G13" s="95"/>
      <c r="J13" s="24" t="s">
        <v>17</v>
      </c>
    </row>
    <row r="14" spans="2:18" ht="30" x14ac:dyDescent="0.2">
      <c r="C14" s="62" t="s">
        <v>3</v>
      </c>
      <c r="D14" s="64" t="s">
        <v>18</v>
      </c>
      <c r="E14" s="95"/>
      <c r="F14" s="95"/>
      <c r="G14" s="95"/>
      <c r="J14" s="61" t="s">
        <v>2</v>
      </c>
      <c r="K14" s="61" t="s">
        <v>203</v>
      </c>
      <c r="L14" s="61" t="s">
        <v>205</v>
      </c>
      <c r="M14" s="61" t="s">
        <v>19</v>
      </c>
      <c r="N14" s="61" t="s">
        <v>20</v>
      </c>
      <c r="O14" s="184" t="s">
        <v>21</v>
      </c>
      <c r="P14" s="185"/>
      <c r="Q14" s="185"/>
      <c r="R14" s="186"/>
    </row>
    <row r="15" spans="2:18" ht="30" x14ac:dyDescent="0.2">
      <c r="C15" s="62" t="s">
        <v>13</v>
      </c>
      <c r="D15" s="64" t="s">
        <v>22</v>
      </c>
      <c r="E15" s="95"/>
      <c r="F15" s="95"/>
      <c r="G15" s="95"/>
      <c r="J15" s="61" t="s">
        <v>3</v>
      </c>
      <c r="K15" s="121">
        <f>SUM(E14,F14,G14,E19,F19,G19,E27,F27,G27,E24,F24,G24,E35,F35,G35)</f>
        <v>0</v>
      </c>
      <c r="L15" s="120">
        <f>SUM(E47,F47,G47,E52,F52,G52,E60,F60,G60,E57,F57,G57,E68,F68,G68)</f>
        <v>0</v>
      </c>
      <c r="M15" s="121">
        <f>SUM(E78,F78,G78,E83,F83,G83,E91,F91,G91,E88,F88,G88,E99,F99,G99)</f>
        <v>0</v>
      </c>
      <c r="N15" s="121">
        <f>SUM(E108,F108,G108,E113,F113,G113,E118,F118,G118,E121,F121,G121,E129,F129,G129)</f>
        <v>0</v>
      </c>
      <c r="O15" s="74" t="s">
        <v>23</v>
      </c>
      <c r="P15" s="75">
        <v>4</v>
      </c>
      <c r="Q15" s="76" t="s">
        <v>24</v>
      </c>
      <c r="R15" s="77" t="s">
        <v>25</v>
      </c>
    </row>
    <row r="16" spans="2:18" x14ac:dyDescent="0.2">
      <c r="C16" s="62" t="s">
        <v>4</v>
      </c>
      <c r="D16" s="64" t="s">
        <v>26</v>
      </c>
      <c r="E16" s="95"/>
      <c r="F16" s="95"/>
      <c r="G16" s="95"/>
      <c r="J16" s="61" t="s">
        <v>5</v>
      </c>
      <c r="K16" s="121">
        <f>SUM(E17,F17,G17,E22,F22,G22,E25,F25,G25,E30,F30,G30,E34,F34,G34)</f>
        <v>0</v>
      </c>
      <c r="L16" s="120">
        <f>SUM(E50,F50,G50,E55,F55,G55,E58,F58,G58,E63,F63,G63,E67,F67,G67)</f>
        <v>0</v>
      </c>
      <c r="M16" s="121">
        <f>SUM(E81,F81,G81,E86,F86,G86,E89,F89,G89,E94,F94,G94,E98,F98,G98)</f>
        <v>0</v>
      </c>
      <c r="N16" s="121">
        <f>SUM(E111,F111,G111,E116,F116,G116,E119,F119,G119,E124,F124,G124,E128,F128,G128)</f>
        <v>0</v>
      </c>
      <c r="O16" s="74" t="s">
        <v>27</v>
      </c>
      <c r="P16" s="75" t="s">
        <v>28</v>
      </c>
      <c r="Q16" s="76" t="s">
        <v>29</v>
      </c>
      <c r="R16" s="77" t="s">
        <v>30</v>
      </c>
    </row>
    <row r="17" spans="3:18" x14ac:dyDescent="0.2">
      <c r="C17" s="62" t="s">
        <v>5</v>
      </c>
      <c r="D17" s="64" t="s">
        <v>31</v>
      </c>
      <c r="E17" s="95"/>
      <c r="F17" s="95"/>
      <c r="G17" s="95"/>
      <c r="J17" s="61" t="s">
        <v>4</v>
      </c>
      <c r="K17" s="120">
        <f>SUM(E16,F16,G16,E18,F18,G18,E23,F23,G23,E29,F29,G29,E33,F33,G33)</f>
        <v>0</v>
      </c>
      <c r="L17" s="120">
        <f>SUM(E49,F49,G49,E51,F51,G51,E62,F62,G62,E56,F56,G56,E66,F66,G66)</f>
        <v>0</v>
      </c>
      <c r="M17" s="120">
        <f>SUM(E80,F80,G80,E82,F82,G82,E87,F87,G87,E93,F93,G93,E97,F97,G97)</f>
        <v>0</v>
      </c>
      <c r="N17" s="121">
        <f>SUM(E110,F110,G110,E112,F112,G112,E117,F117,G117,E123,F123,G123,E127,F127,G127)</f>
        <v>0</v>
      </c>
      <c r="O17" s="74" t="s">
        <v>27</v>
      </c>
      <c r="P17" s="75" t="s">
        <v>28</v>
      </c>
      <c r="Q17" s="76" t="s">
        <v>32</v>
      </c>
      <c r="R17" s="77" t="s">
        <v>33</v>
      </c>
    </row>
    <row r="18" spans="3:18" x14ac:dyDescent="0.2">
      <c r="C18" s="62" t="s">
        <v>4</v>
      </c>
      <c r="D18" s="70" t="s">
        <v>34</v>
      </c>
      <c r="E18" s="95"/>
      <c r="F18" s="95"/>
      <c r="G18" s="95"/>
      <c r="J18" s="61" t="s">
        <v>15</v>
      </c>
      <c r="K18" s="120">
        <f>SUM(E13,F13,G13,E21,F21,G21,E26,F26,G26,E32,F32,G32,E36,F36,G36)</f>
        <v>0</v>
      </c>
      <c r="L18" s="120">
        <f>SUM(E46,F46,G46,E54,F54,G54,E65,F65,G65,E59,F59,G59,E69,F69,G69)</f>
        <v>0</v>
      </c>
      <c r="M18" s="120">
        <f>SUM(E77,F77,G77,E85,F85,G85,E90,F90,G90,E96,F96,G96,E100,F100,G100)</f>
        <v>0</v>
      </c>
      <c r="N18" s="121">
        <f>SUM(E107,F107,G107,E115,F115,G115,E120,F120,G120,E126,F126,G126,E130,F130,G130)</f>
        <v>0</v>
      </c>
      <c r="O18" s="74" t="s">
        <v>35</v>
      </c>
      <c r="P18" s="75" t="s">
        <v>36</v>
      </c>
      <c r="Q18" s="76" t="s">
        <v>37</v>
      </c>
      <c r="R18" s="77" t="s">
        <v>38</v>
      </c>
    </row>
    <row r="19" spans="3:18" x14ac:dyDescent="0.2">
      <c r="C19" s="62" t="s">
        <v>3</v>
      </c>
      <c r="D19" s="64" t="s">
        <v>39</v>
      </c>
      <c r="E19" s="95"/>
      <c r="F19" s="95"/>
      <c r="G19" s="95"/>
      <c r="J19" s="61" t="s">
        <v>40</v>
      </c>
      <c r="K19" s="120">
        <f>SUM(K15:K18)</f>
        <v>0</v>
      </c>
      <c r="L19" s="120">
        <f>SUM(L15:L18)</f>
        <v>0</v>
      </c>
      <c r="M19" s="120">
        <f>SUM(M15:M18)</f>
        <v>0</v>
      </c>
      <c r="N19" s="121">
        <f>SUM(N15:N18)</f>
        <v>0</v>
      </c>
      <c r="O19" s="74" t="s">
        <v>41</v>
      </c>
      <c r="P19" s="75" t="s">
        <v>42</v>
      </c>
      <c r="Q19" s="76" t="s">
        <v>43</v>
      </c>
      <c r="R19" s="77" t="s">
        <v>44</v>
      </c>
    </row>
    <row r="20" spans="3:18" x14ac:dyDescent="0.2">
      <c r="C20" s="62" t="s">
        <v>13</v>
      </c>
      <c r="D20" s="64" t="s">
        <v>45</v>
      </c>
      <c r="E20" s="95"/>
      <c r="F20" s="95"/>
      <c r="G20" s="95"/>
      <c r="J20" s="61" t="s">
        <v>46</v>
      </c>
      <c r="K20" s="120">
        <f>SUM(K15+K16)</f>
        <v>0</v>
      </c>
      <c r="L20" s="120">
        <f>SUM(L15+L16)</f>
        <v>0</v>
      </c>
      <c r="M20" s="120">
        <f>SUM(M15+M16)</f>
        <v>0</v>
      </c>
      <c r="N20" s="120">
        <f>SUM(N15+N16)</f>
        <v>0</v>
      </c>
      <c r="O20" s="74" t="s">
        <v>23</v>
      </c>
      <c r="P20" s="75" t="s">
        <v>47</v>
      </c>
      <c r="Q20" s="76" t="s">
        <v>48</v>
      </c>
      <c r="R20" s="77" t="s">
        <v>49</v>
      </c>
    </row>
    <row r="21" spans="3:18" x14ac:dyDescent="0.2">
      <c r="C21" s="62" t="s">
        <v>15</v>
      </c>
      <c r="D21" s="64" t="s">
        <v>50</v>
      </c>
      <c r="E21" s="95"/>
      <c r="F21" s="95"/>
      <c r="G21" s="95"/>
      <c r="J21" s="61" t="s">
        <v>51</v>
      </c>
      <c r="K21" s="120">
        <f>SUM(K17+K18)</f>
        <v>0</v>
      </c>
      <c r="L21" s="120">
        <f>SUM(L17+L18)</f>
        <v>0</v>
      </c>
      <c r="M21" s="120">
        <f>SUM(M17+M18)</f>
        <v>0</v>
      </c>
      <c r="N21" s="120">
        <f>SUM(N17+N18)</f>
        <v>0</v>
      </c>
      <c r="O21" s="74" t="s">
        <v>52</v>
      </c>
      <c r="P21" s="75" t="s">
        <v>48</v>
      </c>
      <c r="Q21" s="76" t="s">
        <v>53</v>
      </c>
      <c r="R21" s="77" t="s">
        <v>54</v>
      </c>
    </row>
    <row r="22" spans="3:18" x14ac:dyDescent="0.2">
      <c r="C22" s="62" t="s">
        <v>5</v>
      </c>
      <c r="D22" s="70" t="s">
        <v>55</v>
      </c>
      <c r="E22" s="95"/>
      <c r="F22" s="95"/>
      <c r="G22" s="95"/>
      <c r="J22" s="71" t="s">
        <v>56</v>
      </c>
      <c r="K22" s="71"/>
      <c r="L22" s="71"/>
      <c r="M22" s="71"/>
      <c r="N22" s="71"/>
      <c r="O22" s="66" t="s">
        <v>23</v>
      </c>
      <c r="P22" s="67" t="s">
        <v>29</v>
      </c>
      <c r="Q22" s="68" t="s">
        <v>24</v>
      </c>
      <c r="R22" s="69" t="s">
        <v>25</v>
      </c>
    </row>
    <row r="23" spans="3:18" x14ac:dyDescent="0.2">
      <c r="C23" s="62" t="s">
        <v>4</v>
      </c>
      <c r="D23" s="64" t="s">
        <v>57</v>
      </c>
      <c r="E23" s="95"/>
      <c r="F23" s="95"/>
      <c r="G23" s="95"/>
      <c r="J23" s="61"/>
      <c r="K23" s="62"/>
      <c r="L23" s="62"/>
      <c r="M23" s="62"/>
      <c r="N23" s="62"/>
      <c r="O23" s="72"/>
      <c r="P23" s="72"/>
      <c r="Q23" s="72"/>
      <c r="R23" s="72"/>
    </row>
    <row r="24" spans="3:18" x14ac:dyDescent="0.2">
      <c r="C24" s="62" t="s">
        <v>3</v>
      </c>
      <c r="D24" s="64" t="s">
        <v>58</v>
      </c>
      <c r="E24" s="95"/>
      <c r="F24" s="95"/>
      <c r="G24" s="95"/>
      <c r="J24" s="61" t="s">
        <v>13</v>
      </c>
      <c r="K24" s="120">
        <f>SUM(E12,F12,G12,E15,F15,G15,E20,F20,G20,E28,F28,G28,E31,F31,G31)</f>
        <v>0</v>
      </c>
      <c r="L24" s="120">
        <f>SUM(E45,F45,G45,E48,F48,G48,E53,F53,G53,E61,F61,G61,E64,F64,G64)</f>
        <v>0</v>
      </c>
      <c r="M24" s="121">
        <f>SUM(E76,F76,G76,E79,F79,G79,E84,F84,G84,E92,F92,G92,E95,F95,G95)</f>
        <v>0</v>
      </c>
      <c r="N24" s="121">
        <f>SUM(E106,F106,G106,E109,F109,G109,E114,F114,G114,E122,F122,G122,E125,F125,G125)</f>
        <v>0</v>
      </c>
      <c r="O24" s="74" t="s">
        <v>48</v>
      </c>
      <c r="P24" s="75" t="s">
        <v>59</v>
      </c>
      <c r="Q24" s="76" t="s">
        <v>60</v>
      </c>
      <c r="R24" s="77" t="s">
        <v>35</v>
      </c>
    </row>
    <row r="25" spans="3:18" x14ac:dyDescent="0.2">
      <c r="C25" s="62" t="s">
        <v>5</v>
      </c>
      <c r="D25" s="70" t="s">
        <v>61</v>
      </c>
      <c r="E25" s="95"/>
      <c r="F25" s="95"/>
      <c r="G25" s="95"/>
    </row>
    <row r="26" spans="3:18" x14ac:dyDescent="0.2">
      <c r="C26" s="62" t="s">
        <v>15</v>
      </c>
      <c r="D26" s="64" t="s">
        <v>62</v>
      </c>
      <c r="E26" s="95"/>
      <c r="F26" s="95"/>
      <c r="G26" s="95"/>
    </row>
    <row r="27" spans="3:18" ht="30" x14ac:dyDescent="0.2">
      <c r="C27" s="62" t="s">
        <v>3</v>
      </c>
      <c r="D27" s="64" t="s">
        <v>63</v>
      </c>
      <c r="E27" s="95"/>
      <c r="F27" s="95"/>
      <c r="G27" s="95"/>
    </row>
    <row r="28" spans="3:18" x14ac:dyDescent="0.2">
      <c r="C28" s="62" t="s">
        <v>13</v>
      </c>
      <c r="D28" s="64" t="s">
        <v>64</v>
      </c>
      <c r="E28" s="95"/>
      <c r="F28" s="95"/>
      <c r="G28" s="95"/>
    </row>
    <row r="29" spans="3:18" x14ac:dyDescent="0.2">
      <c r="C29" s="62" t="s">
        <v>4</v>
      </c>
      <c r="D29" s="64" t="s">
        <v>65</v>
      </c>
      <c r="E29" s="95"/>
      <c r="F29" s="95"/>
      <c r="G29" s="95"/>
    </row>
    <row r="30" spans="3:18" x14ac:dyDescent="0.2">
      <c r="C30" s="62" t="s">
        <v>5</v>
      </c>
      <c r="D30" s="64" t="s">
        <v>66</v>
      </c>
      <c r="E30" s="95"/>
      <c r="F30" s="95"/>
      <c r="G30" s="95"/>
    </row>
    <row r="31" spans="3:18" ht="30" x14ac:dyDescent="0.2">
      <c r="C31" s="62" t="s">
        <v>13</v>
      </c>
      <c r="D31" s="64" t="s">
        <v>67</v>
      </c>
      <c r="E31" s="95"/>
      <c r="F31" s="95"/>
      <c r="G31" s="95"/>
    </row>
    <row r="32" spans="3:18" x14ac:dyDescent="0.2">
      <c r="C32" s="62" t="s">
        <v>15</v>
      </c>
      <c r="D32" s="70" t="s">
        <v>68</v>
      </c>
      <c r="E32" s="95"/>
      <c r="F32" s="95"/>
      <c r="G32" s="95"/>
    </row>
    <row r="33" spans="2:17" x14ac:dyDescent="0.2">
      <c r="C33" s="62" t="s">
        <v>4</v>
      </c>
      <c r="D33" s="64" t="s">
        <v>69</v>
      </c>
      <c r="E33" s="95"/>
      <c r="F33" s="95"/>
      <c r="G33" s="95"/>
    </row>
    <row r="34" spans="2:17" x14ac:dyDescent="0.2">
      <c r="C34" s="62" t="s">
        <v>5</v>
      </c>
      <c r="D34" s="64" t="s">
        <v>70</v>
      </c>
      <c r="E34" s="95"/>
      <c r="F34" s="95"/>
      <c r="G34" s="95"/>
    </row>
    <row r="35" spans="2:17" x14ac:dyDescent="0.2">
      <c r="C35" s="62" t="s">
        <v>3</v>
      </c>
      <c r="D35" s="64" t="s">
        <v>71</v>
      </c>
      <c r="E35" s="95"/>
      <c r="F35" s="95"/>
      <c r="G35" s="95"/>
    </row>
    <row r="36" spans="2:17" x14ac:dyDescent="0.2">
      <c r="C36" s="62" t="s">
        <v>15</v>
      </c>
      <c r="D36" s="70" t="s">
        <v>72</v>
      </c>
      <c r="E36" s="95"/>
      <c r="F36" s="95"/>
      <c r="G36" s="95"/>
    </row>
    <row r="40" spans="2:17" ht="16" thickBot="1" x14ac:dyDescent="0.25">
      <c r="C40" s="24"/>
    </row>
    <row r="41" spans="2:17" ht="16" thickBot="1" x14ac:dyDescent="0.25">
      <c r="B41" s="139" t="s">
        <v>201</v>
      </c>
      <c r="C41" s="141"/>
      <c r="D41" s="89"/>
      <c r="E41" s="18" t="s">
        <v>199</v>
      </c>
      <c r="J41" s="24" t="s">
        <v>159</v>
      </c>
    </row>
    <row r="43" spans="2:17" x14ac:dyDescent="0.2">
      <c r="C43" s="61" t="s">
        <v>2</v>
      </c>
      <c r="D43" s="61" t="s">
        <v>7</v>
      </c>
      <c r="E43" s="61" t="s">
        <v>8</v>
      </c>
      <c r="F43" s="61" t="s">
        <v>9</v>
      </c>
      <c r="G43" s="61" t="b">
        <v>1</v>
      </c>
      <c r="J43" s="24" t="s">
        <v>162</v>
      </c>
    </row>
    <row r="44" spans="2:17" ht="16" thickBot="1" x14ac:dyDescent="0.25">
      <c r="C44" s="62"/>
      <c r="D44" s="63" t="s">
        <v>10</v>
      </c>
      <c r="E44" s="33" t="s">
        <v>11</v>
      </c>
      <c r="F44" s="33">
        <v>1</v>
      </c>
      <c r="G44" s="33" t="s">
        <v>12</v>
      </c>
      <c r="J44" s="18" t="s">
        <v>166</v>
      </c>
    </row>
    <row r="45" spans="2:17" x14ac:dyDescent="0.2">
      <c r="C45" s="62" t="s">
        <v>13</v>
      </c>
      <c r="D45" s="64" t="s">
        <v>14</v>
      </c>
      <c r="E45" s="95"/>
      <c r="F45" s="95"/>
      <c r="G45" s="95"/>
      <c r="J45" s="96" t="s">
        <v>202</v>
      </c>
      <c r="K45" s="97" t="str" cm="1">
        <f t="array" ref="K45">_xlfn.LET(
  _xlpm.dataRange, E12:G36,
  _xlpm.rowCounts, _xlfn.BYROW(_xlpm.dataRange, _xlfn.LAMBDA(_xlpm.row, COUNTA(_xlpm.row))),
  _xlpm.valid, AND(_xlpm.rowCounts=1),
  IF(COUNTA(_xlpm.dataRange)=0, "", IF(_xlpm.valid, "Complete", "Incomplete"))
)</f>
        <v/>
      </c>
    </row>
    <row r="46" spans="2:17" x14ac:dyDescent="0.2">
      <c r="C46" s="62" t="s">
        <v>15</v>
      </c>
      <c r="D46" s="64" t="s">
        <v>16</v>
      </c>
      <c r="E46" s="95"/>
      <c r="F46" s="95"/>
      <c r="G46" s="95"/>
      <c r="J46" s="98" t="s">
        <v>191</v>
      </c>
      <c r="K46" s="99" t="str" cm="1">
        <f t="array" ref="K46">_xlfn.LET(
  _xlpm.dataRange, E45:G69,
  _xlpm.rowCounts, _xlfn.BYROW(_xlpm.dataRange, _xlfn.LAMBDA(_xlpm.row, COUNTA(_xlpm.row))),
  _xlpm.valid, AND(_xlpm.rowCounts=1),
  IF(COUNTA(_xlpm.dataRange)=0, "", IF(_xlpm.valid, "Complete", "Incomplete"))
)</f>
        <v/>
      </c>
    </row>
    <row r="47" spans="2:17" ht="30" x14ac:dyDescent="0.2">
      <c r="C47" s="62" t="s">
        <v>3</v>
      </c>
      <c r="D47" s="64" t="s">
        <v>18</v>
      </c>
      <c r="E47" s="95"/>
      <c r="F47" s="95"/>
      <c r="G47" s="95"/>
      <c r="J47" s="98" t="s">
        <v>160</v>
      </c>
      <c r="K47" s="99" t="str" cm="1">
        <f t="array" ref="K47">_xlfn.LET(
  _xlpm.dataRange, E76:G100,
  _xlpm.rowCounts, _xlfn.BYROW(_xlpm.dataRange, _xlfn.LAMBDA(_xlpm.row, COUNTA(_xlpm.row))),
  _xlpm.valid, AND(_xlpm.rowCounts=1),
  IF(COUNTA(_xlpm.dataRange)=0, "", IF(_xlpm.valid, "Complete", "Incomplete"))
)</f>
        <v/>
      </c>
      <c r="N47" s="187"/>
      <c r="O47" s="187"/>
      <c r="P47" s="187"/>
      <c r="Q47" s="73"/>
    </row>
    <row r="48" spans="2:17" ht="31" thickBot="1" x14ac:dyDescent="0.25">
      <c r="C48" s="62" t="s">
        <v>13</v>
      </c>
      <c r="D48" s="64" t="s">
        <v>22</v>
      </c>
      <c r="E48" s="95"/>
      <c r="F48" s="95"/>
      <c r="G48" s="95"/>
      <c r="J48" s="100" t="s">
        <v>161</v>
      </c>
      <c r="K48" s="101" t="str" cm="1">
        <f t="array" ref="K48">_xlfn.LET(
  _xlpm.dataRange, E106:G130,
  _xlpm.rowCounts, _xlfn.BYROW(_xlpm.dataRange, _xlfn.LAMBDA(_xlpm.row, COUNTA(_xlpm.row))),
  _xlpm.valid, AND(_xlpm.rowCounts=1),
  IF(COUNTA(_xlpm.dataRange)=0, "", IF(_xlpm.valid, "Complete", "Incomplete"))
)</f>
        <v/>
      </c>
    </row>
    <row r="49" spans="3:7" x14ac:dyDescent="0.2">
      <c r="C49" s="62" t="s">
        <v>4</v>
      </c>
      <c r="D49" s="64" t="s">
        <v>26</v>
      </c>
      <c r="E49" s="95"/>
      <c r="F49" s="95"/>
      <c r="G49" s="95"/>
    </row>
    <row r="50" spans="3:7" x14ac:dyDescent="0.2">
      <c r="C50" s="62" t="s">
        <v>5</v>
      </c>
      <c r="D50" s="64" t="s">
        <v>31</v>
      </c>
      <c r="E50" s="95"/>
      <c r="F50" s="95"/>
      <c r="G50" s="95"/>
    </row>
    <row r="51" spans="3:7" x14ac:dyDescent="0.2">
      <c r="C51" s="62" t="s">
        <v>4</v>
      </c>
      <c r="D51" s="70" t="s">
        <v>34</v>
      </c>
      <c r="E51" s="95"/>
      <c r="F51" s="95"/>
      <c r="G51" s="95"/>
    </row>
    <row r="52" spans="3:7" x14ac:dyDescent="0.2">
      <c r="C52" s="62" t="s">
        <v>3</v>
      </c>
      <c r="D52" s="64" t="s">
        <v>39</v>
      </c>
      <c r="E52" s="95"/>
      <c r="F52" s="95"/>
      <c r="G52" s="95"/>
    </row>
    <row r="53" spans="3:7" x14ac:dyDescent="0.2">
      <c r="C53" s="62" t="s">
        <v>13</v>
      </c>
      <c r="D53" s="64" t="s">
        <v>45</v>
      </c>
      <c r="E53" s="95"/>
      <c r="F53" s="95"/>
      <c r="G53" s="95"/>
    </row>
    <row r="54" spans="3:7" x14ac:dyDescent="0.2">
      <c r="C54" s="62" t="s">
        <v>15</v>
      </c>
      <c r="D54" s="64" t="s">
        <v>50</v>
      </c>
      <c r="E54" s="95"/>
      <c r="F54" s="95"/>
      <c r="G54" s="95"/>
    </row>
    <row r="55" spans="3:7" x14ac:dyDescent="0.2">
      <c r="C55" s="62" t="s">
        <v>5</v>
      </c>
      <c r="D55" s="70" t="s">
        <v>55</v>
      </c>
      <c r="E55" s="95"/>
      <c r="F55" s="95"/>
      <c r="G55" s="95"/>
    </row>
    <row r="56" spans="3:7" x14ac:dyDescent="0.2">
      <c r="C56" s="62" t="s">
        <v>4</v>
      </c>
      <c r="D56" s="64" t="s">
        <v>57</v>
      </c>
      <c r="E56" s="95"/>
      <c r="F56" s="95"/>
      <c r="G56" s="95"/>
    </row>
    <row r="57" spans="3:7" x14ac:dyDescent="0.2">
      <c r="C57" s="62" t="s">
        <v>3</v>
      </c>
      <c r="D57" s="64" t="s">
        <v>58</v>
      </c>
      <c r="E57" s="95"/>
      <c r="F57" s="95"/>
      <c r="G57" s="95"/>
    </row>
    <row r="58" spans="3:7" x14ac:dyDescent="0.2">
      <c r="C58" s="62" t="s">
        <v>5</v>
      </c>
      <c r="D58" s="70" t="s">
        <v>61</v>
      </c>
      <c r="E58" s="95"/>
      <c r="F58" s="95"/>
      <c r="G58" s="95"/>
    </row>
    <row r="59" spans="3:7" x14ac:dyDescent="0.2">
      <c r="C59" s="62" t="s">
        <v>15</v>
      </c>
      <c r="D59" s="64" t="s">
        <v>62</v>
      </c>
      <c r="E59" s="95"/>
      <c r="F59" s="95"/>
      <c r="G59" s="95"/>
    </row>
    <row r="60" spans="3:7" ht="30" x14ac:dyDescent="0.2">
      <c r="C60" s="62" t="s">
        <v>3</v>
      </c>
      <c r="D60" s="64" t="s">
        <v>63</v>
      </c>
      <c r="E60" s="95"/>
      <c r="F60" s="95"/>
      <c r="G60" s="95"/>
    </row>
    <row r="61" spans="3:7" x14ac:dyDescent="0.2">
      <c r="C61" s="62" t="s">
        <v>13</v>
      </c>
      <c r="D61" s="64" t="s">
        <v>64</v>
      </c>
      <c r="E61" s="95"/>
      <c r="F61" s="95"/>
      <c r="G61" s="95"/>
    </row>
    <row r="62" spans="3:7" x14ac:dyDescent="0.2">
      <c r="C62" s="62" t="s">
        <v>4</v>
      </c>
      <c r="D62" s="64" t="s">
        <v>65</v>
      </c>
      <c r="E62" s="95"/>
      <c r="F62" s="95"/>
      <c r="G62" s="95"/>
    </row>
    <row r="63" spans="3:7" x14ac:dyDescent="0.2">
      <c r="C63" s="62" t="s">
        <v>5</v>
      </c>
      <c r="D63" s="64" t="s">
        <v>66</v>
      </c>
      <c r="E63" s="95"/>
      <c r="F63" s="95"/>
      <c r="G63" s="95"/>
    </row>
    <row r="64" spans="3:7" ht="30" x14ac:dyDescent="0.2">
      <c r="C64" s="62" t="s">
        <v>13</v>
      </c>
      <c r="D64" s="64" t="s">
        <v>67</v>
      </c>
      <c r="E64" s="95"/>
      <c r="F64" s="95"/>
      <c r="G64" s="95"/>
    </row>
    <row r="65" spans="3:17" x14ac:dyDescent="0.2">
      <c r="C65" s="62" t="s">
        <v>15</v>
      </c>
      <c r="D65" s="70" t="s">
        <v>68</v>
      </c>
      <c r="E65" s="95"/>
      <c r="F65" s="95"/>
      <c r="G65" s="95"/>
    </row>
    <row r="66" spans="3:17" x14ac:dyDescent="0.2">
      <c r="C66" s="62" t="s">
        <v>4</v>
      </c>
      <c r="D66" s="64" t="s">
        <v>69</v>
      </c>
      <c r="E66" s="95"/>
      <c r="F66" s="95"/>
      <c r="G66" s="95"/>
    </row>
    <row r="67" spans="3:17" x14ac:dyDescent="0.2">
      <c r="C67" s="62" t="s">
        <v>5</v>
      </c>
      <c r="D67" s="64" t="s">
        <v>70</v>
      </c>
      <c r="E67" s="95"/>
      <c r="F67" s="95"/>
      <c r="G67" s="95"/>
    </row>
    <row r="68" spans="3:17" x14ac:dyDescent="0.2">
      <c r="C68" s="62" t="s">
        <v>3</v>
      </c>
      <c r="D68" s="64" t="s">
        <v>71</v>
      </c>
      <c r="E68" s="95"/>
      <c r="F68" s="95"/>
      <c r="G68" s="95"/>
    </row>
    <row r="69" spans="3:17" x14ac:dyDescent="0.2">
      <c r="C69" s="62" t="s">
        <v>15</v>
      </c>
      <c r="D69" s="70" t="s">
        <v>72</v>
      </c>
      <c r="E69" s="95"/>
      <c r="F69" s="95"/>
      <c r="G69" s="95"/>
    </row>
    <row r="72" spans="3:17" x14ac:dyDescent="0.2">
      <c r="C72" s="24" t="s">
        <v>73</v>
      </c>
    </row>
    <row r="74" spans="3:17" x14ac:dyDescent="0.2">
      <c r="C74" s="61" t="s">
        <v>2</v>
      </c>
      <c r="D74" s="61" t="s">
        <v>7</v>
      </c>
      <c r="E74" s="61" t="s">
        <v>8</v>
      </c>
      <c r="F74" s="61" t="s">
        <v>9</v>
      </c>
      <c r="G74" s="61" t="b">
        <v>1</v>
      </c>
    </row>
    <row r="75" spans="3:17" x14ac:dyDescent="0.2">
      <c r="C75" s="62"/>
      <c r="D75" s="63" t="s">
        <v>10</v>
      </c>
      <c r="E75" s="33" t="s">
        <v>11</v>
      </c>
      <c r="F75" s="33">
        <v>1</v>
      </c>
      <c r="G75" s="33" t="s">
        <v>12</v>
      </c>
    </row>
    <row r="76" spans="3:17" x14ac:dyDescent="0.2">
      <c r="C76" s="62" t="s">
        <v>13</v>
      </c>
      <c r="D76" s="64" t="s">
        <v>14</v>
      </c>
      <c r="E76" s="95"/>
      <c r="F76" s="95"/>
      <c r="G76" s="95"/>
    </row>
    <row r="77" spans="3:17" x14ac:dyDescent="0.2">
      <c r="C77" s="62" t="s">
        <v>15</v>
      </c>
      <c r="D77" s="64" t="s">
        <v>16</v>
      </c>
      <c r="E77" s="95"/>
      <c r="F77" s="95"/>
      <c r="G77" s="95"/>
      <c r="J77" s="24"/>
    </row>
    <row r="78" spans="3:17" ht="30" x14ac:dyDescent="0.2">
      <c r="C78" s="62" t="s">
        <v>3</v>
      </c>
      <c r="D78" s="64" t="s">
        <v>18</v>
      </c>
      <c r="E78" s="95"/>
      <c r="F78" s="95"/>
      <c r="G78" s="95"/>
      <c r="N78" s="187"/>
      <c r="O78" s="187"/>
      <c r="P78" s="187"/>
      <c r="Q78" s="73"/>
    </row>
    <row r="79" spans="3:17" ht="30" x14ac:dyDescent="0.2">
      <c r="C79" s="62" t="s">
        <v>13</v>
      </c>
      <c r="D79" s="64" t="s">
        <v>22</v>
      </c>
      <c r="E79" s="95"/>
      <c r="F79" s="95"/>
      <c r="G79" s="95"/>
    </row>
    <row r="80" spans="3:17" x14ac:dyDescent="0.2">
      <c r="C80" s="62" t="s">
        <v>4</v>
      </c>
      <c r="D80" s="64" t="s">
        <v>26</v>
      </c>
      <c r="E80" s="95"/>
      <c r="F80" s="95"/>
      <c r="G80" s="95"/>
    </row>
    <row r="81" spans="3:7" x14ac:dyDescent="0.2">
      <c r="C81" s="62" t="s">
        <v>5</v>
      </c>
      <c r="D81" s="64" t="s">
        <v>31</v>
      </c>
      <c r="E81" s="95"/>
      <c r="F81" s="95"/>
      <c r="G81" s="95"/>
    </row>
    <row r="82" spans="3:7" x14ac:dyDescent="0.2">
      <c r="C82" s="62" t="s">
        <v>4</v>
      </c>
      <c r="D82" s="70" t="s">
        <v>34</v>
      </c>
      <c r="E82" s="95"/>
      <c r="F82" s="95"/>
      <c r="G82" s="95"/>
    </row>
    <row r="83" spans="3:7" x14ac:dyDescent="0.2">
      <c r="C83" s="62" t="s">
        <v>3</v>
      </c>
      <c r="D83" s="64" t="s">
        <v>39</v>
      </c>
      <c r="E83" s="95"/>
      <c r="F83" s="95"/>
      <c r="G83" s="95"/>
    </row>
    <row r="84" spans="3:7" x14ac:dyDescent="0.2">
      <c r="C84" s="62" t="s">
        <v>13</v>
      </c>
      <c r="D84" s="64" t="s">
        <v>45</v>
      </c>
      <c r="E84" s="95"/>
      <c r="F84" s="95"/>
      <c r="G84" s="95"/>
    </row>
    <row r="85" spans="3:7" x14ac:dyDescent="0.2">
      <c r="C85" s="62" t="s">
        <v>15</v>
      </c>
      <c r="D85" s="64" t="s">
        <v>50</v>
      </c>
      <c r="E85" s="95"/>
      <c r="F85" s="95"/>
      <c r="G85" s="95"/>
    </row>
    <row r="86" spans="3:7" x14ac:dyDescent="0.2">
      <c r="C86" s="62" t="s">
        <v>5</v>
      </c>
      <c r="D86" s="70" t="s">
        <v>55</v>
      </c>
      <c r="E86" s="95"/>
      <c r="F86" s="95"/>
      <c r="G86" s="95"/>
    </row>
    <row r="87" spans="3:7" x14ac:dyDescent="0.2">
      <c r="C87" s="62" t="s">
        <v>4</v>
      </c>
      <c r="D87" s="64" t="s">
        <v>57</v>
      </c>
      <c r="E87" s="95"/>
      <c r="F87" s="95"/>
      <c r="G87" s="95"/>
    </row>
    <row r="88" spans="3:7" x14ac:dyDescent="0.2">
      <c r="C88" s="62" t="s">
        <v>3</v>
      </c>
      <c r="D88" s="64" t="s">
        <v>58</v>
      </c>
      <c r="E88" s="95"/>
      <c r="F88" s="95"/>
      <c r="G88" s="95"/>
    </row>
    <row r="89" spans="3:7" x14ac:dyDescent="0.2">
      <c r="C89" s="62" t="s">
        <v>5</v>
      </c>
      <c r="D89" s="70" t="s">
        <v>61</v>
      </c>
      <c r="E89" s="95"/>
      <c r="F89" s="95"/>
      <c r="G89" s="95"/>
    </row>
    <row r="90" spans="3:7" x14ac:dyDescent="0.2">
      <c r="C90" s="62" t="s">
        <v>15</v>
      </c>
      <c r="D90" s="64" t="s">
        <v>62</v>
      </c>
      <c r="E90" s="95"/>
      <c r="F90" s="95"/>
      <c r="G90" s="95"/>
    </row>
    <row r="91" spans="3:7" ht="30" x14ac:dyDescent="0.2">
      <c r="C91" s="62" t="s">
        <v>3</v>
      </c>
      <c r="D91" s="64" t="s">
        <v>63</v>
      </c>
      <c r="E91" s="95"/>
      <c r="F91" s="95"/>
      <c r="G91" s="95"/>
    </row>
    <row r="92" spans="3:7" x14ac:dyDescent="0.2">
      <c r="C92" s="62" t="s">
        <v>13</v>
      </c>
      <c r="D92" s="64" t="s">
        <v>64</v>
      </c>
      <c r="E92" s="95"/>
      <c r="F92" s="95"/>
      <c r="G92" s="95"/>
    </row>
    <row r="93" spans="3:7" x14ac:dyDescent="0.2">
      <c r="C93" s="62" t="s">
        <v>4</v>
      </c>
      <c r="D93" s="64" t="s">
        <v>65</v>
      </c>
      <c r="E93" s="95"/>
      <c r="F93" s="95"/>
      <c r="G93" s="95"/>
    </row>
    <row r="94" spans="3:7" x14ac:dyDescent="0.2">
      <c r="C94" s="62" t="s">
        <v>5</v>
      </c>
      <c r="D94" s="64" t="s">
        <v>66</v>
      </c>
      <c r="E94" s="95"/>
      <c r="F94" s="95"/>
      <c r="G94" s="95"/>
    </row>
    <row r="95" spans="3:7" ht="30" x14ac:dyDescent="0.2">
      <c r="C95" s="62" t="s">
        <v>13</v>
      </c>
      <c r="D95" s="64" t="s">
        <v>67</v>
      </c>
      <c r="E95" s="95"/>
      <c r="F95" s="95"/>
      <c r="G95" s="95"/>
    </row>
    <row r="96" spans="3:7" x14ac:dyDescent="0.2">
      <c r="C96" s="62" t="s">
        <v>15</v>
      </c>
      <c r="D96" s="70" t="s">
        <v>68</v>
      </c>
      <c r="E96" s="95"/>
      <c r="F96" s="95"/>
      <c r="G96" s="95"/>
    </row>
    <row r="97" spans="3:7" x14ac:dyDescent="0.2">
      <c r="C97" s="62" t="s">
        <v>4</v>
      </c>
      <c r="D97" s="64" t="s">
        <v>69</v>
      </c>
      <c r="E97" s="95"/>
      <c r="F97" s="95"/>
      <c r="G97" s="95"/>
    </row>
    <row r="98" spans="3:7" x14ac:dyDescent="0.2">
      <c r="C98" s="62" t="s">
        <v>5</v>
      </c>
      <c r="D98" s="64" t="s">
        <v>70</v>
      </c>
      <c r="E98" s="95"/>
      <c r="F98" s="95"/>
      <c r="G98" s="95"/>
    </row>
    <row r="99" spans="3:7" x14ac:dyDescent="0.2">
      <c r="C99" s="62" t="s">
        <v>3</v>
      </c>
      <c r="D99" s="64" t="s">
        <v>71</v>
      </c>
      <c r="E99" s="95"/>
      <c r="F99" s="95"/>
      <c r="G99" s="95"/>
    </row>
    <row r="100" spans="3:7" x14ac:dyDescent="0.2">
      <c r="C100" s="62" t="s">
        <v>15</v>
      </c>
      <c r="D100" s="70" t="s">
        <v>72</v>
      </c>
      <c r="E100" s="95"/>
      <c r="F100" s="95"/>
      <c r="G100" s="95"/>
    </row>
    <row r="102" spans="3:7" x14ac:dyDescent="0.2">
      <c r="C102" s="24" t="s">
        <v>74</v>
      </c>
    </row>
    <row r="104" spans="3:7" x14ac:dyDescent="0.2">
      <c r="C104" s="61" t="s">
        <v>2</v>
      </c>
      <c r="D104" s="61" t="s">
        <v>7</v>
      </c>
      <c r="E104" s="61" t="s">
        <v>8</v>
      </c>
      <c r="F104" s="61" t="s">
        <v>9</v>
      </c>
      <c r="G104" s="61" t="b">
        <v>1</v>
      </c>
    </row>
    <row r="105" spans="3:7" x14ac:dyDescent="0.2">
      <c r="C105" s="62"/>
      <c r="D105" s="63" t="s">
        <v>10</v>
      </c>
      <c r="E105" s="33" t="s">
        <v>11</v>
      </c>
      <c r="F105" s="33">
        <v>1</v>
      </c>
      <c r="G105" s="33" t="s">
        <v>12</v>
      </c>
    </row>
    <row r="106" spans="3:7" x14ac:dyDescent="0.2">
      <c r="C106" s="62" t="s">
        <v>13</v>
      </c>
      <c r="D106" s="64" t="s">
        <v>14</v>
      </c>
      <c r="E106" s="95"/>
      <c r="F106" s="95"/>
      <c r="G106" s="95"/>
    </row>
    <row r="107" spans="3:7" x14ac:dyDescent="0.2">
      <c r="C107" s="62" t="s">
        <v>15</v>
      </c>
      <c r="D107" s="64" t="s">
        <v>16</v>
      </c>
      <c r="E107" s="95"/>
      <c r="F107" s="95"/>
      <c r="G107" s="95"/>
    </row>
    <row r="108" spans="3:7" ht="30" x14ac:dyDescent="0.2">
      <c r="C108" s="62" t="s">
        <v>3</v>
      </c>
      <c r="D108" s="64" t="s">
        <v>18</v>
      </c>
      <c r="E108" s="95"/>
      <c r="F108" s="95"/>
      <c r="G108" s="95"/>
    </row>
    <row r="109" spans="3:7" ht="30" x14ac:dyDescent="0.2">
      <c r="C109" s="62" t="s">
        <v>13</v>
      </c>
      <c r="D109" s="64" t="s">
        <v>22</v>
      </c>
      <c r="E109" s="95"/>
      <c r="F109" s="95"/>
      <c r="G109" s="95"/>
    </row>
    <row r="110" spans="3:7" x14ac:dyDescent="0.2">
      <c r="C110" s="62" t="s">
        <v>4</v>
      </c>
      <c r="D110" s="64" t="s">
        <v>26</v>
      </c>
      <c r="E110" s="95"/>
      <c r="F110" s="95"/>
      <c r="G110" s="95"/>
    </row>
    <row r="111" spans="3:7" x14ac:dyDescent="0.2">
      <c r="C111" s="62" t="s">
        <v>5</v>
      </c>
      <c r="D111" s="64" t="s">
        <v>31</v>
      </c>
      <c r="E111" s="95"/>
      <c r="F111" s="95"/>
      <c r="G111" s="95"/>
    </row>
    <row r="112" spans="3:7" x14ac:dyDescent="0.2">
      <c r="C112" s="62" t="s">
        <v>4</v>
      </c>
      <c r="D112" s="70" t="s">
        <v>34</v>
      </c>
      <c r="E112" s="95"/>
      <c r="F112" s="95"/>
      <c r="G112" s="95"/>
    </row>
    <row r="113" spans="3:7" x14ac:dyDescent="0.2">
      <c r="C113" s="62" t="s">
        <v>3</v>
      </c>
      <c r="D113" s="64" t="s">
        <v>39</v>
      </c>
      <c r="E113" s="95"/>
      <c r="F113" s="95"/>
      <c r="G113" s="95"/>
    </row>
    <row r="114" spans="3:7" x14ac:dyDescent="0.2">
      <c r="C114" s="62" t="s">
        <v>13</v>
      </c>
      <c r="D114" s="64" t="s">
        <v>45</v>
      </c>
      <c r="E114" s="95"/>
      <c r="F114" s="95"/>
      <c r="G114" s="95"/>
    </row>
    <row r="115" spans="3:7" x14ac:dyDescent="0.2">
      <c r="C115" s="62" t="s">
        <v>15</v>
      </c>
      <c r="D115" s="64" t="s">
        <v>50</v>
      </c>
      <c r="E115" s="95"/>
      <c r="F115" s="95"/>
      <c r="G115" s="95"/>
    </row>
    <row r="116" spans="3:7" x14ac:dyDescent="0.2">
      <c r="C116" s="62" t="s">
        <v>5</v>
      </c>
      <c r="D116" s="70" t="s">
        <v>55</v>
      </c>
      <c r="E116" s="95"/>
      <c r="F116" s="95"/>
      <c r="G116" s="95"/>
    </row>
    <row r="117" spans="3:7" x14ac:dyDescent="0.2">
      <c r="C117" s="62" t="s">
        <v>4</v>
      </c>
      <c r="D117" s="64" t="s">
        <v>57</v>
      </c>
      <c r="E117" s="95"/>
      <c r="F117" s="95"/>
      <c r="G117" s="95"/>
    </row>
    <row r="118" spans="3:7" x14ac:dyDescent="0.2">
      <c r="C118" s="62" t="s">
        <v>3</v>
      </c>
      <c r="D118" s="64" t="s">
        <v>58</v>
      </c>
      <c r="E118" s="95"/>
      <c r="F118" s="95"/>
      <c r="G118" s="95"/>
    </row>
    <row r="119" spans="3:7" x14ac:dyDescent="0.2">
      <c r="C119" s="62" t="s">
        <v>5</v>
      </c>
      <c r="D119" s="70" t="s">
        <v>61</v>
      </c>
      <c r="E119" s="95"/>
      <c r="F119" s="95"/>
      <c r="G119" s="95"/>
    </row>
    <row r="120" spans="3:7" x14ac:dyDescent="0.2">
      <c r="C120" s="62" t="s">
        <v>15</v>
      </c>
      <c r="D120" s="64" t="s">
        <v>62</v>
      </c>
      <c r="E120" s="95"/>
      <c r="F120" s="95"/>
      <c r="G120" s="95"/>
    </row>
    <row r="121" spans="3:7" ht="30" x14ac:dyDescent="0.2">
      <c r="C121" s="62" t="s">
        <v>3</v>
      </c>
      <c r="D121" s="64" t="s">
        <v>63</v>
      </c>
      <c r="E121" s="95"/>
      <c r="F121" s="95"/>
      <c r="G121" s="95"/>
    </row>
    <row r="122" spans="3:7" x14ac:dyDescent="0.2">
      <c r="C122" s="62" t="s">
        <v>13</v>
      </c>
      <c r="D122" s="64" t="s">
        <v>64</v>
      </c>
      <c r="E122" s="95"/>
      <c r="F122" s="95"/>
      <c r="G122" s="95"/>
    </row>
    <row r="123" spans="3:7" x14ac:dyDescent="0.2">
      <c r="C123" s="62" t="s">
        <v>4</v>
      </c>
      <c r="D123" s="64" t="s">
        <v>65</v>
      </c>
      <c r="E123" s="95"/>
      <c r="F123" s="95"/>
      <c r="G123" s="95"/>
    </row>
    <row r="124" spans="3:7" x14ac:dyDescent="0.2">
      <c r="C124" s="62" t="s">
        <v>5</v>
      </c>
      <c r="D124" s="64" t="s">
        <v>66</v>
      </c>
      <c r="E124" s="95"/>
      <c r="F124" s="95"/>
      <c r="G124" s="95"/>
    </row>
    <row r="125" spans="3:7" ht="30" x14ac:dyDescent="0.2">
      <c r="C125" s="62" t="s">
        <v>13</v>
      </c>
      <c r="D125" s="64" t="s">
        <v>67</v>
      </c>
      <c r="E125" s="95"/>
      <c r="F125" s="95"/>
      <c r="G125" s="95"/>
    </row>
    <row r="126" spans="3:7" x14ac:dyDescent="0.2">
      <c r="C126" s="62" t="s">
        <v>15</v>
      </c>
      <c r="D126" s="70" t="s">
        <v>68</v>
      </c>
      <c r="E126" s="95"/>
      <c r="F126" s="95"/>
      <c r="G126" s="95"/>
    </row>
    <row r="127" spans="3:7" x14ac:dyDescent="0.2">
      <c r="C127" s="62" t="s">
        <v>4</v>
      </c>
      <c r="D127" s="64" t="s">
        <v>69</v>
      </c>
      <c r="E127" s="95"/>
      <c r="F127" s="95"/>
      <c r="G127" s="95"/>
    </row>
    <row r="128" spans="3:7" x14ac:dyDescent="0.2">
      <c r="C128" s="62" t="s">
        <v>5</v>
      </c>
      <c r="D128" s="64" t="s">
        <v>70</v>
      </c>
      <c r="E128" s="95"/>
      <c r="F128" s="95"/>
      <c r="G128" s="95"/>
    </row>
    <row r="129" spans="3:7" x14ac:dyDescent="0.2">
      <c r="C129" s="62" t="s">
        <v>3</v>
      </c>
      <c r="D129" s="64" t="s">
        <v>71</v>
      </c>
      <c r="E129" s="95"/>
      <c r="F129" s="95"/>
      <c r="G129" s="95"/>
    </row>
    <row r="130" spans="3:7" x14ac:dyDescent="0.2">
      <c r="C130" s="62" t="s">
        <v>15</v>
      </c>
      <c r="D130" s="70" t="s">
        <v>72</v>
      </c>
      <c r="E130" s="95"/>
      <c r="F130" s="95"/>
      <c r="G130" s="95"/>
    </row>
  </sheetData>
  <sheetProtection algorithmName="SHA-512" hashValue="LX2b+2pXR65X1vnq53hIAdag/B220OF/j6FMmYGPievRIz3UkirIG6WVInI+byv7RZdsmshMupuiKD0nIc2W4w==" saltValue="TDbv0S1VioOJloIWiXL6F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A71D5AB-3F9C-4D97-A39C-734DE2AC5D6B}">
      <formula1>45170</formula1>
      <formula2>49552</formula2>
    </dataValidation>
  </dataValidations>
  <pageMargins left="0.7" right="0.7" top="0.75" bottom="0.75" header="0.3" footer="0.3"/>
  <pageSetup scale="42" fitToHeight="2" orientation="landscape" r:id="rId1"/>
  <rowBreaks count="1" manualBreakCount="1">
    <brk id="3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8DBC-9A58-4D37-8A6A-DC4C3684B531}">
  <sheetPr>
    <pageSetUpPr fitToPage="1"/>
  </sheetPr>
  <dimension ref="B2:R130"/>
  <sheetViews>
    <sheetView showGridLines="0" zoomScaleNormal="100" workbookViewId="0">
      <selection activeCell="I7" sqref="I7"/>
    </sheetView>
  </sheetViews>
  <sheetFormatPr baseColWidth="10" defaultColWidth="9.1640625" defaultRowHeight="15" x14ac:dyDescent="0.2"/>
  <cols>
    <col min="1" max="1" width="9.1640625" style="18"/>
    <col min="2" max="2" width="7.33203125" style="18" customWidth="1"/>
    <col min="3" max="3" width="27.83203125" style="18" bestFit="1" customWidth="1"/>
    <col min="4" max="4" width="45.6640625" style="18" customWidth="1"/>
    <col min="5" max="5" width="13.33203125" style="18" customWidth="1"/>
    <col min="6" max="6" width="13" style="18" customWidth="1"/>
    <col min="7" max="7" width="13.5" style="18" customWidth="1"/>
    <col min="8" max="9" width="9.1640625" style="18"/>
    <col min="10" max="11" width="21.6640625" style="18" customWidth="1"/>
    <col min="12" max="12" width="19.5" style="18" bestFit="1" customWidth="1"/>
    <col min="13" max="13" width="16.1640625" style="18" customWidth="1"/>
    <col min="14" max="14" width="14.5" style="18" customWidth="1"/>
    <col min="15" max="15" width="13.1640625" style="18" customWidth="1"/>
    <col min="16" max="17" width="13.5" style="18" customWidth="1"/>
    <col min="18" max="16384" width="9.1640625" style="18"/>
  </cols>
  <sheetData>
    <row r="2" spans="2:18" x14ac:dyDescent="0.2">
      <c r="C2" s="24" t="s">
        <v>126</v>
      </c>
      <c r="D2" s="18" t="s">
        <v>163</v>
      </c>
    </row>
    <row r="3" spans="2:18" x14ac:dyDescent="0.2">
      <c r="C3" s="24"/>
      <c r="D3" s="18" t="s">
        <v>164</v>
      </c>
    </row>
    <row r="4" spans="2:18" x14ac:dyDescent="0.2">
      <c r="C4" s="24"/>
      <c r="D4" s="18" t="s">
        <v>165</v>
      </c>
    </row>
    <row r="5" spans="2:18" ht="16" thickBot="1" x14ac:dyDescent="0.25">
      <c r="C5" s="24"/>
    </row>
    <row r="6" spans="2:18" ht="16" thickBot="1" x14ac:dyDescent="0.25">
      <c r="C6" s="24" t="s">
        <v>104</v>
      </c>
      <c r="D6" s="27"/>
    </row>
    <row r="7" spans="2:18" ht="16" thickBot="1" x14ac:dyDescent="0.25">
      <c r="F7" s="25"/>
    </row>
    <row r="8" spans="2:18" ht="16" thickBot="1" x14ac:dyDescent="0.25">
      <c r="B8" s="139" t="s">
        <v>200</v>
      </c>
      <c r="C8" s="139"/>
      <c r="D8" s="89"/>
      <c r="E8" s="18" t="s">
        <v>199</v>
      </c>
    </row>
    <row r="10" spans="2:18" x14ac:dyDescent="0.2">
      <c r="C10" s="61" t="s">
        <v>2</v>
      </c>
      <c r="D10" s="61" t="s">
        <v>7</v>
      </c>
      <c r="E10" s="61" t="s">
        <v>8</v>
      </c>
      <c r="F10" s="61" t="s">
        <v>9</v>
      </c>
      <c r="G10" s="61" t="b">
        <v>1</v>
      </c>
    </row>
    <row r="11" spans="2:18" x14ac:dyDescent="0.2">
      <c r="C11" s="62"/>
      <c r="D11" s="63" t="s">
        <v>10</v>
      </c>
      <c r="E11" s="33" t="s">
        <v>11</v>
      </c>
      <c r="F11" s="33">
        <v>1</v>
      </c>
      <c r="G11" s="33" t="s">
        <v>12</v>
      </c>
      <c r="J11" s="18" t="s">
        <v>184</v>
      </c>
    </row>
    <row r="12" spans="2:18" x14ac:dyDescent="0.2">
      <c r="C12" s="62" t="s">
        <v>13</v>
      </c>
      <c r="D12" s="64" t="s">
        <v>14</v>
      </c>
      <c r="E12" s="94"/>
      <c r="F12" s="95"/>
      <c r="G12" s="95"/>
    </row>
    <row r="13" spans="2:18" x14ac:dyDescent="0.2">
      <c r="C13" s="62" t="s">
        <v>15</v>
      </c>
      <c r="D13" s="64" t="s">
        <v>16</v>
      </c>
      <c r="E13" s="95"/>
      <c r="F13" s="95"/>
      <c r="G13" s="95"/>
      <c r="J13" s="24" t="s">
        <v>17</v>
      </c>
    </row>
    <row r="14" spans="2:18" ht="30" x14ac:dyDescent="0.2">
      <c r="C14" s="62" t="s">
        <v>3</v>
      </c>
      <c r="D14" s="64" t="s">
        <v>18</v>
      </c>
      <c r="E14" s="95"/>
      <c r="F14" s="95"/>
      <c r="G14" s="95"/>
      <c r="J14" s="61" t="s">
        <v>2</v>
      </c>
      <c r="K14" s="61" t="s">
        <v>203</v>
      </c>
      <c r="L14" s="61" t="s">
        <v>204</v>
      </c>
      <c r="M14" s="61" t="s">
        <v>160</v>
      </c>
      <c r="N14" s="61" t="s">
        <v>20</v>
      </c>
      <c r="O14" s="184" t="s">
        <v>21</v>
      </c>
      <c r="P14" s="185"/>
      <c r="Q14" s="185"/>
      <c r="R14" s="186"/>
    </row>
    <row r="15" spans="2:18" ht="30" x14ac:dyDescent="0.2">
      <c r="C15" s="62" t="s">
        <v>13</v>
      </c>
      <c r="D15" s="64" t="s">
        <v>22</v>
      </c>
      <c r="E15" s="95"/>
      <c r="F15" s="95"/>
      <c r="G15" s="95"/>
      <c r="J15" s="61" t="s">
        <v>3</v>
      </c>
      <c r="K15" s="121">
        <f>SUM(E14,F14,G14,E19,F19,G19,E27,F27,G27,E24,F24,G24,E35,F35,G35)</f>
        <v>0</v>
      </c>
      <c r="L15" s="120">
        <f>SUM(E47,F47,G47,E52,F52,G52,E60,F60,G60,E57,F57,G57,E68,F68,G68)</f>
        <v>0</v>
      </c>
      <c r="M15" s="121">
        <f>SUM(E78,F78,G78,E83,F83,G83,E91,F91,G91,E88,F88,G88,E99,F99,G99)</f>
        <v>0</v>
      </c>
      <c r="N15" s="121">
        <f>SUM(E108,F108,G108,E113,F113,G113,E118,F118,G118,E121,F121,G121,E129,F129,G129)</f>
        <v>0</v>
      </c>
      <c r="O15" s="74" t="s">
        <v>23</v>
      </c>
      <c r="P15" s="75">
        <v>4</v>
      </c>
      <c r="Q15" s="76" t="s">
        <v>24</v>
      </c>
      <c r="R15" s="77" t="s">
        <v>25</v>
      </c>
    </row>
    <row r="16" spans="2:18" x14ac:dyDescent="0.2">
      <c r="C16" s="62" t="s">
        <v>4</v>
      </c>
      <c r="D16" s="64" t="s">
        <v>26</v>
      </c>
      <c r="E16" s="95"/>
      <c r="F16" s="95"/>
      <c r="G16" s="95"/>
      <c r="J16" s="61" t="s">
        <v>5</v>
      </c>
      <c r="K16" s="121">
        <f>SUM(E17,F17,G17,E22,F22,G22,E25,F25,G25,E30,F30,G30,E34,F34,G34)</f>
        <v>0</v>
      </c>
      <c r="L16" s="120">
        <f>SUM(E50,F50,G50,E55,F55,G55,E58,F58,G58,E63,F63,G63,E67,F67,G67)</f>
        <v>0</v>
      </c>
      <c r="M16" s="121">
        <f>SUM(E81,F81,G81,E86,F86,G86,E89,F89,G89,E94,F94,G94,E98,F98,G98)</f>
        <v>0</v>
      </c>
      <c r="N16" s="121">
        <f>SUM(E111,F111,G111,E116,F116,G116,E119,F119,G119,E124,F124,G124,E128,F128,G128)</f>
        <v>0</v>
      </c>
      <c r="O16" s="74" t="s">
        <v>27</v>
      </c>
      <c r="P16" s="75" t="s">
        <v>28</v>
      </c>
      <c r="Q16" s="76" t="s">
        <v>29</v>
      </c>
      <c r="R16" s="77" t="s">
        <v>30</v>
      </c>
    </row>
    <row r="17" spans="3:18" x14ac:dyDescent="0.2">
      <c r="C17" s="62" t="s">
        <v>5</v>
      </c>
      <c r="D17" s="64" t="s">
        <v>31</v>
      </c>
      <c r="E17" s="95"/>
      <c r="F17" s="95"/>
      <c r="G17" s="95"/>
      <c r="J17" s="61" t="s">
        <v>4</v>
      </c>
      <c r="K17" s="120">
        <f>SUM(E16,F16,G16,E18,F18,G18,E23,F23,G23,E29,F29,G29,E33,F33,G33)</f>
        <v>0</v>
      </c>
      <c r="L17" s="120">
        <f>SUM(E49,F49,G49,E51,F51,G51,E62,F62,G62,E56,F56,G56,E66,F66,G66)</f>
        <v>0</v>
      </c>
      <c r="M17" s="120">
        <f>SUM(E80,F80,G80,E82,F82,G82,E87,F87,G87,E93,F93,G93,E97,F97,G97)</f>
        <v>0</v>
      </c>
      <c r="N17" s="121">
        <f>SUM(E110,F110,G110,E112,F112,G112,E117,F117,G117,E123,F123,G123,E127,F127,G127)</f>
        <v>0</v>
      </c>
      <c r="O17" s="74" t="s">
        <v>27</v>
      </c>
      <c r="P17" s="75" t="s">
        <v>28</v>
      </c>
      <c r="Q17" s="76" t="s">
        <v>32</v>
      </c>
      <c r="R17" s="77" t="s">
        <v>33</v>
      </c>
    </row>
    <row r="18" spans="3:18" x14ac:dyDescent="0.2">
      <c r="C18" s="62" t="s">
        <v>4</v>
      </c>
      <c r="D18" s="70" t="s">
        <v>34</v>
      </c>
      <c r="E18" s="95"/>
      <c r="F18" s="95"/>
      <c r="G18" s="95"/>
      <c r="J18" s="61" t="s">
        <v>15</v>
      </c>
      <c r="K18" s="120">
        <f>SUM(E13,F13,G13,E21,F21,G21,E26,F26,G26,E32,F32,G32,E36,F36,G36)</f>
        <v>0</v>
      </c>
      <c r="L18" s="120">
        <f>SUM(E46,F46,G46,E54,F54,G54,E65,F65,G65,E59,F59,G59,E69,F69,G69)</f>
        <v>0</v>
      </c>
      <c r="M18" s="120">
        <f>SUM(E77,F77,G77,E85,F85,G85,E90,F90,G90,E96,F96,G96,E100,F100,G100)</f>
        <v>0</v>
      </c>
      <c r="N18" s="121">
        <f>SUM(E107,F107,G107,E115,F115,G115,E120,F120,G120,E126,F126,G126,E130,F130,G130)</f>
        <v>0</v>
      </c>
      <c r="O18" s="74" t="s">
        <v>35</v>
      </c>
      <c r="P18" s="75" t="s">
        <v>36</v>
      </c>
      <c r="Q18" s="76" t="s">
        <v>37</v>
      </c>
      <c r="R18" s="77" t="s">
        <v>38</v>
      </c>
    </row>
    <row r="19" spans="3:18" x14ac:dyDescent="0.2">
      <c r="C19" s="62" t="s">
        <v>3</v>
      </c>
      <c r="D19" s="64" t="s">
        <v>39</v>
      </c>
      <c r="E19" s="95"/>
      <c r="F19" s="95"/>
      <c r="G19" s="95"/>
      <c r="J19" s="61" t="s">
        <v>40</v>
      </c>
      <c r="K19" s="120">
        <f>SUM(K15:K18)</f>
        <v>0</v>
      </c>
      <c r="L19" s="120">
        <f>SUM(L15:L18)</f>
        <v>0</v>
      </c>
      <c r="M19" s="120">
        <f>SUM(M15:M18)</f>
        <v>0</v>
      </c>
      <c r="N19" s="121">
        <f>SUM(N15:N18)</f>
        <v>0</v>
      </c>
      <c r="O19" s="74" t="s">
        <v>41</v>
      </c>
      <c r="P19" s="75" t="s">
        <v>42</v>
      </c>
      <c r="Q19" s="76" t="s">
        <v>43</v>
      </c>
      <c r="R19" s="77" t="s">
        <v>44</v>
      </c>
    </row>
    <row r="20" spans="3:18" x14ac:dyDescent="0.2">
      <c r="C20" s="62" t="s">
        <v>13</v>
      </c>
      <c r="D20" s="64" t="s">
        <v>45</v>
      </c>
      <c r="E20" s="95"/>
      <c r="F20" s="95"/>
      <c r="G20" s="95"/>
      <c r="J20" s="61" t="s">
        <v>46</v>
      </c>
      <c r="K20" s="120">
        <f>SUM(K15+K16)</f>
        <v>0</v>
      </c>
      <c r="L20" s="120">
        <f>SUM(L15+L16)</f>
        <v>0</v>
      </c>
      <c r="M20" s="120">
        <f>SUM(M15+M16)</f>
        <v>0</v>
      </c>
      <c r="N20" s="120">
        <f>SUM(N15+N16)</f>
        <v>0</v>
      </c>
      <c r="O20" s="74" t="s">
        <v>23</v>
      </c>
      <c r="P20" s="75" t="s">
        <v>47</v>
      </c>
      <c r="Q20" s="76" t="s">
        <v>48</v>
      </c>
      <c r="R20" s="77" t="s">
        <v>49</v>
      </c>
    </row>
    <row r="21" spans="3:18" x14ac:dyDescent="0.2">
      <c r="C21" s="62" t="s">
        <v>15</v>
      </c>
      <c r="D21" s="64" t="s">
        <v>50</v>
      </c>
      <c r="E21" s="95"/>
      <c r="F21" s="95"/>
      <c r="G21" s="95"/>
      <c r="J21" s="61" t="s">
        <v>51</v>
      </c>
      <c r="K21" s="120">
        <f>SUM(K17+K18)</f>
        <v>0</v>
      </c>
      <c r="L21" s="120">
        <f>SUM(L17+L18)</f>
        <v>0</v>
      </c>
      <c r="M21" s="120">
        <f>SUM(M17+M18)</f>
        <v>0</v>
      </c>
      <c r="N21" s="120">
        <f>SUM(N17+N18)</f>
        <v>0</v>
      </c>
      <c r="O21" s="74" t="s">
        <v>52</v>
      </c>
      <c r="P21" s="75" t="s">
        <v>48</v>
      </c>
      <c r="Q21" s="76" t="s">
        <v>53</v>
      </c>
      <c r="R21" s="77" t="s">
        <v>54</v>
      </c>
    </row>
    <row r="22" spans="3:18" x14ac:dyDescent="0.2">
      <c r="C22" s="62" t="s">
        <v>5</v>
      </c>
      <c r="D22" s="70" t="s">
        <v>55</v>
      </c>
      <c r="E22" s="95"/>
      <c r="F22" s="95"/>
      <c r="G22" s="95"/>
      <c r="J22" s="37" t="s">
        <v>56</v>
      </c>
      <c r="K22" s="37"/>
      <c r="L22" s="37"/>
      <c r="M22" s="71"/>
      <c r="N22" s="71"/>
      <c r="O22" s="74" t="s">
        <v>23</v>
      </c>
      <c r="P22" s="75" t="s">
        <v>29</v>
      </c>
      <c r="Q22" s="76" t="s">
        <v>24</v>
      </c>
      <c r="R22" s="77" t="s">
        <v>25</v>
      </c>
    </row>
    <row r="23" spans="3:18" x14ac:dyDescent="0.2">
      <c r="C23" s="62" t="s">
        <v>4</v>
      </c>
      <c r="D23" s="64" t="s">
        <v>57</v>
      </c>
      <c r="E23" s="95"/>
      <c r="F23" s="95"/>
      <c r="G23" s="95"/>
      <c r="J23" s="61"/>
      <c r="K23" s="62"/>
      <c r="L23" s="62"/>
      <c r="M23" s="62"/>
      <c r="N23" s="62"/>
      <c r="O23" s="72"/>
      <c r="P23" s="72"/>
      <c r="Q23" s="72"/>
      <c r="R23" s="72"/>
    </row>
    <row r="24" spans="3:18" x14ac:dyDescent="0.2">
      <c r="C24" s="62" t="s">
        <v>3</v>
      </c>
      <c r="D24" s="64" t="s">
        <v>58</v>
      </c>
      <c r="E24" s="95"/>
      <c r="F24" s="95"/>
      <c r="G24" s="95"/>
      <c r="J24" s="61" t="s">
        <v>13</v>
      </c>
      <c r="K24" s="120">
        <f>SUM(E12,F12,G12,E15,F15,G15,E20,F20,G20,E28,F28,G28,E31,F31,G31)</f>
        <v>0</v>
      </c>
      <c r="L24" s="120">
        <f>SUM(E45,F45,G45,E48,F48,G48,E53,F53,G53,E61,F61,G61,E64,F64,G64)</f>
        <v>0</v>
      </c>
      <c r="M24" s="121">
        <f>SUM(E76,F76,G76,E79,F79,G79,E84,F84,G84,E92,F92,G92,E95,F95,G95)</f>
        <v>0</v>
      </c>
      <c r="N24" s="121">
        <f>SUM(E106,F106,G106,E109,F109,G109,E114,F114,G114,E122,F122,G122,E125,F125,G125)</f>
        <v>0</v>
      </c>
      <c r="O24" s="74" t="s">
        <v>48</v>
      </c>
      <c r="P24" s="75" t="s">
        <v>59</v>
      </c>
      <c r="Q24" s="76" t="s">
        <v>60</v>
      </c>
      <c r="R24" s="77" t="s">
        <v>35</v>
      </c>
    </row>
    <row r="25" spans="3:18" x14ac:dyDescent="0.2">
      <c r="C25" s="62" t="s">
        <v>5</v>
      </c>
      <c r="D25" s="70" t="s">
        <v>61</v>
      </c>
      <c r="E25" s="95"/>
      <c r="F25" s="95"/>
      <c r="G25" s="95"/>
    </row>
    <row r="26" spans="3:18" x14ac:dyDescent="0.2">
      <c r="C26" s="62" t="s">
        <v>15</v>
      </c>
      <c r="D26" s="64" t="s">
        <v>62</v>
      </c>
      <c r="E26" s="95"/>
      <c r="F26" s="95"/>
      <c r="G26" s="95"/>
    </row>
    <row r="27" spans="3:18" ht="30" x14ac:dyDescent="0.2">
      <c r="C27" s="62" t="s">
        <v>3</v>
      </c>
      <c r="D27" s="64" t="s">
        <v>63</v>
      </c>
      <c r="E27" s="95"/>
      <c r="F27" s="95"/>
      <c r="G27" s="95"/>
    </row>
    <row r="28" spans="3:18" x14ac:dyDescent="0.2">
      <c r="C28" s="62" t="s">
        <v>13</v>
      </c>
      <c r="D28" s="64" t="s">
        <v>64</v>
      </c>
      <c r="E28" s="95"/>
      <c r="F28" s="95"/>
      <c r="G28" s="95"/>
    </row>
    <row r="29" spans="3:18" x14ac:dyDescent="0.2">
      <c r="C29" s="62" t="s">
        <v>4</v>
      </c>
      <c r="D29" s="64" t="s">
        <v>65</v>
      </c>
      <c r="E29" s="95"/>
      <c r="F29" s="95"/>
      <c r="G29" s="95"/>
    </row>
    <row r="30" spans="3:18" x14ac:dyDescent="0.2">
      <c r="C30" s="62" t="s">
        <v>5</v>
      </c>
      <c r="D30" s="64" t="s">
        <v>66</v>
      </c>
      <c r="E30" s="95"/>
      <c r="F30" s="95"/>
      <c r="G30" s="95"/>
    </row>
    <row r="31" spans="3:18" ht="30" x14ac:dyDescent="0.2">
      <c r="C31" s="62" t="s">
        <v>13</v>
      </c>
      <c r="D31" s="64" t="s">
        <v>67</v>
      </c>
      <c r="E31" s="95"/>
      <c r="F31" s="95"/>
      <c r="G31" s="95"/>
    </row>
    <row r="32" spans="3:18" x14ac:dyDescent="0.2">
      <c r="C32" s="62" t="s">
        <v>15</v>
      </c>
      <c r="D32" s="70" t="s">
        <v>68</v>
      </c>
      <c r="E32" s="95"/>
      <c r="F32" s="95"/>
      <c r="G32" s="95"/>
    </row>
    <row r="33" spans="2:17" x14ac:dyDescent="0.2">
      <c r="C33" s="62" t="s">
        <v>4</v>
      </c>
      <c r="D33" s="64" t="s">
        <v>69</v>
      </c>
      <c r="E33" s="95"/>
      <c r="F33" s="95"/>
      <c r="G33" s="95"/>
    </row>
    <row r="34" spans="2:17" x14ac:dyDescent="0.2">
      <c r="C34" s="62" t="s">
        <v>5</v>
      </c>
      <c r="D34" s="64" t="s">
        <v>70</v>
      </c>
      <c r="E34" s="95"/>
      <c r="F34" s="95"/>
      <c r="G34" s="95"/>
    </row>
    <row r="35" spans="2:17" x14ac:dyDescent="0.2">
      <c r="C35" s="62" t="s">
        <v>3</v>
      </c>
      <c r="D35" s="64" t="s">
        <v>71</v>
      </c>
      <c r="E35" s="95"/>
      <c r="F35" s="95"/>
      <c r="G35" s="95"/>
    </row>
    <row r="36" spans="2:17" x14ac:dyDescent="0.2">
      <c r="C36" s="62" t="s">
        <v>15</v>
      </c>
      <c r="D36" s="70" t="s">
        <v>72</v>
      </c>
      <c r="E36" s="95"/>
      <c r="F36" s="95"/>
      <c r="G36" s="95"/>
    </row>
    <row r="40" spans="2:17" ht="16" thickBot="1" x14ac:dyDescent="0.25"/>
    <row r="41" spans="2:17" ht="16" thickBot="1" x14ac:dyDescent="0.25">
      <c r="B41" s="139" t="s">
        <v>201</v>
      </c>
      <c r="C41" s="141"/>
      <c r="D41" s="89"/>
      <c r="E41" s="18" t="s">
        <v>199</v>
      </c>
      <c r="J41" s="24" t="s">
        <v>159</v>
      </c>
    </row>
    <row r="43" spans="2:17" x14ac:dyDescent="0.2">
      <c r="C43" s="61" t="s">
        <v>2</v>
      </c>
      <c r="D43" s="61" t="s">
        <v>7</v>
      </c>
      <c r="E43" s="61" t="s">
        <v>8</v>
      </c>
      <c r="F43" s="61" t="s">
        <v>9</v>
      </c>
      <c r="G43" s="61" t="b">
        <v>1</v>
      </c>
      <c r="J43" s="24" t="s">
        <v>162</v>
      </c>
    </row>
    <row r="44" spans="2:17" ht="16" thickBot="1" x14ac:dyDescent="0.25">
      <c r="C44" s="62"/>
      <c r="D44" s="63" t="s">
        <v>10</v>
      </c>
      <c r="E44" s="33" t="s">
        <v>11</v>
      </c>
      <c r="F44" s="33">
        <v>1</v>
      </c>
      <c r="G44" s="33" t="s">
        <v>12</v>
      </c>
      <c r="J44" s="18" t="s">
        <v>166</v>
      </c>
    </row>
    <row r="45" spans="2:17" x14ac:dyDescent="0.2">
      <c r="C45" s="62" t="s">
        <v>13</v>
      </c>
      <c r="D45" s="64" t="s">
        <v>14</v>
      </c>
      <c r="E45" s="94"/>
      <c r="F45" s="95"/>
      <c r="G45" s="95"/>
      <c r="J45" s="96" t="s">
        <v>202</v>
      </c>
      <c r="K45" s="97" t="str" cm="1">
        <f t="array" ref="K45">_xlfn.LET(
  _xlpm.dataRange, E12:G36,
  _xlpm.rowCounts, _xlfn.BYROW(_xlpm.dataRange, _xlfn.LAMBDA(_xlpm.row, COUNTA(_xlpm.row))),
  _xlpm.valid, AND(_xlpm.rowCounts=1),
  IF(COUNTA(_xlpm.dataRange)=0, "", IF(_xlpm.valid, "Complete", "Incomplete"))
)</f>
        <v/>
      </c>
    </row>
    <row r="46" spans="2:17" x14ac:dyDescent="0.2">
      <c r="C46" s="62" t="s">
        <v>15</v>
      </c>
      <c r="D46" s="64" t="s">
        <v>16</v>
      </c>
      <c r="E46" s="95"/>
      <c r="F46" s="95"/>
      <c r="G46" s="95"/>
      <c r="J46" s="98" t="s">
        <v>191</v>
      </c>
      <c r="K46" s="99" t="str" cm="1">
        <f t="array" ref="K46">_xlfn.LET(
  _xlpm.dataRange, E45:G69,
  _xlpm.rowCounts, _xlfn.BYROW(_xlpm.dataRange, _xlfn.LAMBDA(_xlpm.row, COUNTA(_xlpm.row))),
  _xlpm.valid, AND(_xlpm.rowCounts=1),
  IF(COUNTA(_xlpm.dataRange)=0, "", IF(_xlpm.valid, "Complete", "Incomplete"))
)</f>
        <v/>
      </c>
    </row>
    <row r="47" spans="2:17" ht="30" x14ac:dyDescent="0.2">
      <c r="C47" s="62" t="s">
        <v>3</v>
      </c>
      <c r="D47" s="64" t="s">
        <v>18</v>
      </c>
      <c r="E47" s="95"/>
      <c r="F47" s="95"/>
      <c r="G47" s="95"/>
      <c r="J47" s="98" t="s">
        <v>160</v>
      </c>
      <c r="K47" s="99" t="str" cm="1">
        <f t="array" ref="K47">_xlfn.LET(
  _xlpm.dataRange, E76:G100,
  _xlpm.rowCounts, _xlfn.BYROW(_xlpm.dataRange, _xlfn.LAMBDA(_xlpm.row, COUNTA(_xlpm.row))),
  _xlpm.valid, AND(_xlpm.rowCounts=1),
  IF(COUNTA(_xlpm.dataRange)=0, "", IF(_xlpm.valid, "Complete", "Incomplete"))
)</f>
        <v/>
      </c>
      <c r="N47" s="187"/>
      <c r="O47" s="187"/>
      <c r="P47" s="187"/>
      <c r="Q47" s="73"/>
    </row>
    <row r="48" spans="2:17" ht="31" thickBot="1" x14ac:dyDescent="0.25">
      <c r="C48" s="62" t="s">
        <v>13</v>
      </c>
      <c r="D48" s="64" t="s">
        <v>22</v>
      </c>
      <c r="E48" s="95"/>
      <c r="F48" s="95"/>
      <c r="G48" s="95"/>
      <c r="J48" s="100" t="s">
        <v>161</v>
      </c>
      <c r="K48" s="101" t="str" cm="1">
        <f t="array" ref="K48">_xlfn.LET(
  _xlpm.dataRange, E106:G130,
  _xlpm.rowCounts, _xlfn.BYROW(_xlpm.dataRange, _xlfn.LAMBDA(_xlpm.row, COUNTA(_xlpm.row))),
  _xlpm.valid, AND(_xlpm.rowCounts=1),
  IF(COUNTA(_xlpm.dataRange)=0, "", IF(_xlpm.valid, "Complete", "Incomplete"))
)</f>
        <v/>
      </c>
    </row>
    <row r="49" spans="3:7" x14ac:dyDescent="0.2">
      <c r="C49" s="62" t="s">
        <v>4</v>
      </c>
      <c r="D49" s="64" t="s">
        <v>26</v>
      </c>
      <c r="E49" s="95"/>
      <c r="F49" s="95"/>
      <c r="G49" s="95"/>
    </row>
    <row r="50" spans="3:7" x14ac:dyDescent="0.2">
      <c r="C50" s="62" t="s">
        <v>5</v>
      </c>
      <c r="D50" s="64" t="s">
        <v>31</v>
      </c>
      <c r="E50" s="95"/>
      <c r="F50" s="95"/>
      <c r="G50" s="95"/>
    </row>
    <row r="51" spans="3:7" x14ac:dyDescent="0.2">
      <c r="C51" s="62" t="s">
        <v>4</v>
      </c>
      <c r="D51" s="70" t="s">
        <v>34</v>
      </c>
      <c r="E51" s="95"/>
      <c r="F51" s="95"/>
      <c r="G51" s="95"/>
    </row>
    <row r="52" spans="3:7" x14ac:dyDescent="0.2">
      <c r="C52" s="62" t="s">
        <v>3</v>
      </c>
      <c r="D52" s="64" t="s">
        <v>39</v>
      </c>
      <c r="E52" s="95"/>
      <c r="F52" s="95"/>
      <c r="G52" s="95"/>
    </row>
    <row r="53" spans="3:7" x14ac:dyDescent="0.2">
      <c r="C53" s="62" t="s">
        <v>13</v>
      </c>
      <c r="D53" s="64" t="s">
        <v>45</v>
      </c>
      <c r="E53" s="95"/>
      <c r="F53" s="95"/>
      <c r="G53" s="95"/>
    </row>
    <row r="54" spans="3:7" x14ac:dyDescent="0.2">
      <c r="C54" s="62" t="s">
        <v>15</v>
      </c>
      <c r="D54" s="64" t="s">
        <v>50</v>
      </c>
      <c r="E54" s="95"/>
      <c r="F54" s="95"/>
      <c r="G54" s="95"/>
    </row>
    <row r="55" spans="3:7" x14ac:dyDescent="0.2">
      <c r="C55" s="62" t="s">
        <v>5</v>
      </c>
      <c r="D55" s="70" t="s">
        <v>55</v>
      </c>
      <c r="E55" s="95"/>
      <c r="F55" s="95"/>
      <c r="G55" s="95"/>
    </row>
    <row r="56" spans="3:7" x14ac:dyDescent="0.2">
      <c r="C56" s="62" t="s">
        <v>4</v>
      </c>
      <c r="D56" s="64" t="s">
        <v>57</v>
      </c>
      <c r="E56" s="95"/>
      <c r="F56" s="95"/>
      <c r="G56" s="95"/>
    </row>
    <row r="57" spans="3:7" x14ac:dyDescent="0.2">
      <c r="C57" s="62" t="s">
        <v>3</v>
      </c>
      <c r="D57" s="64" t="s">
        <v>58</v>
      </c>
      <c r="E57" s="95"/>
      <c r="F57" s="95"/>
      <c r="G57" s="95"/>
    </row>
    <row r="58" spans="3:7" x14ac:dyDescent="0.2">
      <c r="C58" s="62" t="s">
        <v>5</v>
      </c>
      <c r="D58" s="70" t="s">
        <v>61</v>
      </c>
      <c r="E58" s="95"/>
      <c r="F58" s="95"/>
      <c r="G58" s="95"/>
    </row>
    <row r="59" spans="3:7" x14ac:dyDescent="0.2">
      <c r="C59" s="62" t="s">
        <v>15</v>
      </c>
      <c r="D59" s="64" t="s">
        <v>62</v>
      </c>
      <c r="E59" s="95"/>
      <c r="F59" s="95"/>
      <c r="G59" s="95"/>
    </row>
    <row r="60" spans="3:7" ht="30" x14ac:dyDescent="0.2">
      <c r="C60" s="62" t="s">
        <v>3</v>
      </c>
      <c r="D60" s="64" t="s">
        <v>63</v>
      </c>
      <c r="E60" s="95"/>
      <c r="F60" s="95"/>
      <c r="G60" s="95"/>
    </row>
    <row r="61" spans="3:7" x14ac:dyDescent="0.2">
      <c r="C61" s="62" t="s">
        <v>13</v>
      </c>
      <c r="D61" s="64" t="s">
        <v>64</v>
      </c>
      <c r="E61" s="95"/>
      <c r="F61" s="95"/>
      <c r="G61" s="95"/>
    </row>
    <row r="62" spans="3:7" x14ac:dyDescent="0.2">
      <c r="C62" s="62" t="s">
        <v>4</v>
      </c>
      <c r="D62" s="64" t="s">
        <v>65</v>
      </c>
      <c r="E62" s="95"/>
      <c r="F62" s="95"/>
      <c r="G62" s="95"/>
    </row>
    <row r="63" spans="3:7" x14ac:dyDescent="0.2">
      <c r="C63" s="62" t="s">
        <v>5</v>
      </c>
      <c r="D63" s="64" t="s">
        <v>66</v>
      </c>
      <c r="E63" s="95"/>
      <c r="F63" s="95"/>
      <c r="G63" s="95"/>
    </row>
    <row r="64" spans="3:7" ht="30" x14ac:dyDescent="0.2">
      <c r="C64" s="62" t="s">
        <v>13</v>
      </c>
      <c r="D64" s="64" t="s">
        <v>67</v>
      </c>
      <c r="E64" s="95"/>
      <c r="F64" s="95"/>
      <c r="G64" s="95"/>
    </row>
    <row r="65" spans="3:17" x14ac:dyDescent="0.2">
      <c r="C65" s="62" t="s">
        <v>15</v>
      </c>
      <c r="D65" s="70" t="s">
        <v>68</v>
      </c>
      <c r="E65" s="95"/>
      <c r="F65" s="95"/>
      <c r="G65" s="95"/>
    </row>
    <row r="66" spans="3:17" x14ac:dyDescent="0.2">
      <c r="C66" s="62" t="s">
        <v>4</v>
      </c>
      <c r="D66" s="64" t="s">
        <v>69</v>
      </c>
      <c r="E66" s="95"/>
      <c r="F66" s="95"/>
      <c r="G66" s="95"/>
    </row>
    <row r="67" spans="3:17" x14ac:dyDescent="0.2">
      <c r="C67" s="62" t="s">
        <v>5</v>
      </c>
      <c r="D67" s="64" t="s">
        <v>70</v>
      </c>
      <c r="E67" s="95"/>
      <c r="F67" s="95"/>
      <c r="G67" s="95"/>
    </row>
    <row r="68" spans="3:17" x14ac:dyDescent="0.2">
      <c r="C68" s="62" t="s">
        <v>3</v>
      </c>
      <c r="D68" s="64" t="s">
        <v>71</v>
      </c>
      <c r="E68" s="95"/>
      <c r="F68" s="95"/>
      <c r="G68" s="95"/>
    </row>
    <row r="69" spans="3:17" x14ac:dyDescent="0.2">
      <c r="C69" s="62" t="s">
        <v>15</v>
      </c>
      <c r="D69" s="70" t="s">
        <v>72</v>
      </c>
      <c r="E69" s="95"/>
      <c r="F69" s="95"/>
      <c r="G69" s="95"/>
    </row>
    <row r="72" spans="3:17" x14ac:dyDescent="0.2">
      <c r="C72" s="24" t="s">
        <v>73</v>
      </c>
    </row>
    <row r="74" spans="3:17" x14ac:dyDescent="0.2">
      <c r="C74" s="61" t="s">
        <v>2</v>
      </c>
      <c r="D74" s="61" t="s">
        <v>7</v>
      </c>
      <c r="E74" s="61" t="s">
        <v>8</v>
      </c>
      <c r="F74" s="61" t="s">
        <v>9</v>
      </c>
      <c r="G74" s="61" t="b">
        <v>1</v>
      </c>
    </row>
    <row r="75" spans="3:17" x14ac:dyDescent="0.2">
      <c r="C75" s="62"/>
      <c r="D75" s="63" t="s">
        <v>10</v>
      </c>
      <c r="E75" s="33" t="s">
        <v>11</v>
      </c>
      <c r="F75" s="33">
        <v>1</v>
      </c>
      <c r="G75" s="33" t="s">
        <v>12</v>
      </c>
    </row>
    <row r="76" spans="3:17" x14ac:dyDescent="0.2">
      <c r="C76" s="62" t="s">
        <v>13</v>
      </c>
      <c r="D76" s="64" t="s">
        <v>14</v>
      </c>
      <c r="E76" s="94"/>
      <c r="F76" s="95"/>
      <c r="G76" s="95"/>
    </row>
    <row r="77" spans="3:17" x14ac:dyDescent="0.2">
      <c r="C77" s="62" t="s">
        <v>15</v>
      </c>
      <c r="D77" s="64" t="s">
        <v>16</v>
      </c>
      <c r="E77" s="95"/>
      <c r="F77" s="95"/>
      <c r="G77" s="95"/>
      <c r="J77" s="24"/>
    </row>
    <row r="78" spans="3:17" ht="30" x14ac:dyDescent="0.2">
      <c r="C78" s="62" t="s">
        <v>3</v>
      </c>
      <c r="D78" s="64" t="s">
        <v>18</v>
      </c>
      <c r="E78" s="95"/>
      <c r="F78" s="95"/>
      <c r="G78" s="95"/>
      <c r="N78" s="187"/>
      <c r="O78" s="187"/>
      <c r="P78" s="187"/>
      <c r="Q78" s="73"/>
    </row>
    <row r="79" spans="3:17" ht="30" x14ac:dyDescent="0.2">
      <c r="C79" s="62" t="s">
        <v>13</v>
      </c>
      <c r="D79" s="64" t="s">
        <v>22</v>
      </c>
      <c r="E79" s="95"/>
      <c r="F79" s="95"/>
      <c r="G79" s="95"/>
    </row>
    <row r="80" spans="3:17" x14ac:dyDescent="0.2">
      <c r="C80" s="62" t="s">
        <v>4</v>
      </c>
      <c r="D80" s="64" t="s">
        <v>26</v>
      </c>
      <c r="E80" s="95"/>
      <c r="F80" s="95"/>
      <c r="G80" s="95"/>
    </row>
    <row r="81" spans="3:7" x14ac:dyDescent="0.2">
      <c r="C81" s="62" t="s">
        <v>5</v>
      </c>
      <c r="D81" s="64" t="s">
        <v>31</v>
      </c>
      <c r="E81" s="95"/>
      <c r="F81" s="95"/>
      <c r="G81" s="95"/>
    </row>
    <row r="82" spans="3:7" x14ac:dyDescent="0.2">
      <c r="C82" s="62" t="s">
        <v>4</v>
      </c>
      <c r="D82" s="70" t="s">
        <v>34</v>
      </c>
      <c r="E82" s="95"/>
      <c r="F82" s="95"/>
      <c r="G82" s="95"/>
    </row>
    <row r="83" spans="3:7" x14ac:dyDescent="0.2">
      <c r="C83" s="62" t="s">
        <v>3</v>
      </c>
      <c r="D83" s="64" t="s">
        <v>39</v>
      </c>
      <c r="E83" s="95"/>
      <c r="F83" s="95"/>
      <c r="G83" s="95"/>
    </row>
    <row r="84" spans="3:7" x14ac:dyDescent="0.2">
      <c r="C84" s="62" t="s">
        <v>13</v>
      </c>
      <c r="D84" s="64" t="s">
        <v>45</v>
      </c>
      <c r="E84" s="95"/>
      <c r="F84" s="95"/>
      <c r="G84" s="95"/>
    </row>
    <row r="85" spans="3:7" x14ac:dyDescent="0.2">
      <c r="C85" s="62" t="s">
        <v>15</v>
      </c>
      <c r="D85" s="64" t="s">
        <v>50</v>
      </c>
      <c r="E85" s="95"/>
      <c r="F85" s="95"/>
      <c r="G85" s="95"/>
    </row>
    <row r="86" spans="3:7" x14ac:dyDescent="0.2">
      <c r="C86" s="62" t="s">
        <v>5</v>
      </c>
      <c r="D86" s="70" t="s">
        <v>55</v>
      </c>
      <c r="E86" s="95"/>
      <c r="F86" s="95"/>
      <c r="G86" s="95"/>
    </row>
    <row r="87" spans="3:7" x14ac:dyDescent="0.2">
      <c r="C87" s="62" t="s">
        <v>4</v>
      </c>
      <c r="D87" s="64" t="s">
        <v>57</v>
      </c>
      <c r="E87" s="95"/>
      <c r="F87" s="95"/>
      <c r="G87" s="95"/>
    </row>
    <row r="88" spans="3:7" x14ac:dyDescent="0.2">
      <c r="C88" s="62" t="s">
        <v>3</v>
      </c>
      <c r="D88" s="64" t="s">
        <v>58</v>
      </c>
      <c r="E88" s="95"/>
      <c r="F88" s="95"/>
      <c r="G88" s="95"/>
    </row>
    <row r="89" spans="3:7" x14ac:dyDescent="0.2">
      <c r="C89" s="62" t="s">
        <v>5</v>
      </c>
      <c r="D89" s="70" t="s">
        <v>61</v>
      </c>
      <c r="E89" s="95"/>
      <c r="F89" s="95"/>
      <c r="G89" s="95"/>
    </row>
    <row r="90" spans="3:7" x14ac:dyDescent="0.2">
      <c r="C90" s="62" t="s">
        <v>15</v>
      </c>
      <c r="D90" s="64" t="s">
        <v>62</v>
      </c>
      <c r="E90" s="95"/>
      <c r="F90" s="95"/>
      <c r="G90" s="95"/>
    </row>
    <row r="91" spans="3:7" ht="30" x14ac:dyDescent="0.2">
      <c r="C91" s="62" t="s">
        <v>3</v>
      </c>
      <c r="D91" s="64" t="s">
        <v>63</v>
      </c>
      <c r="E91" s="95"/>
      <c r="F91" s="95"/>
      <c r="G91" s="95"/>
    </row>
    <row r="92" spans="3:7" x14ac:dyDescent="0.2">
      <c r="C92" s="62" t="s">
        <v>13</v>
      </c>
      <c r="D92" s="64" t="s">
        <v>64</v>
      </c>
      <c r="E92" s="95"/>
      <c r="F92" s="95"/>
      <c r="G92" s="95"/>
    </row>
    <row r="93" spans="3:7" x14ac:dyDescent="0.2">
      <c r="C93" s="62" t="s">
        <v>4</v>
      </c>
      <c r="D93" s="64" t="s">
        <v>65</v>
      </c>
      <c r="E93" s="95"/>
      <c r="F93" s="95"/>
      <c r="G93" s="95"/>
    </row>
    <row r="94" spans="3:7" x14ac:dyDescent="0.2">
      <c r="C94" s="62" t="s">
        <v>5</v>
      </c>
      <c r="D94" s="64" t="s">
        <v>66</v>
      </c>
      <c r="E94" s="95"/>
      <c r="F94" s="95"/>
      <c r="G94" s="95"/>
    </row>
    <row r="95" spans="3:7" ht="30" x14ac:dyDescent="0.2">
      <c r="C95" s="62" t="s">
        <v>13</v>
      </c>
      <c r="D95" s="64" t="s">
        <v>67</v>
      </c>
      <c r="E95" s="95"/>
      <c r="F95" s="95"/>
      <c r="G95" s="95"/>
    </row>
    <row r="96" spans="3:7" x14ac:dyDescent="0.2">
      <c r="C96" s="62" t="s">
        <v>15</v>
      </c>
      <c r="D96" s="70" t="s">
        <v>68</v>
      </c>
      <c r="E96" s="95"/>
      <c r="F96" s="95"/>
      <c r="G96" s="95"/>
    </row>
    <row r="97" spans="3:7" x14ac:dyDescent="0.2">
      <c r="C97" s="62" t="s">
        <v>4</v>
      </c>
      <c r="D97" s="64" t="s">
        <v>69</v>
      </c>
      <c r="E97" s="95"/>
      <c r="F97" s="95"/>
      <c r="G97" s="95"/>
    </row>
    <row r="98" spans="3:7" x14ac:dyDescent="0.2">
      <c r="C98" s="62" t="s">
        <v>5</v>
      </c>
      <c r="D98" s="64" t="s">
        <v>70</v>
      </c>
      <c r="E98" s="95"/>
      <c r="F98" s="95"/>
      <c r="G98" s="95"/>
    </row>
    <row r="99" spans="3:7" x14ac:dyDescent="0.2">
      <c r="C99" s="62" t="s">
        <v>3</v>
      </c>
      <c r="D99" s="64" t="s">
        <v>71</v>
      </c>
      <c r="E99" s="95"/>
      <c r="F99" s="95"/>
      <c r="G99" s="95"/>
    </row>
    <row r="100" spans="3:7" x14ac:dyDescent="0.2">
      <c r="C100" s="62" t="s">
        <v>15</v>
      </c>
      <c r="D100" s="70" t="s">
        <v>72</v>
      </c>
      <c r="E100" s="95"/>
      <c r="F100" s="95"/>
      <c r="G100" s="95"/>
    </row>
    <row r="102" spans="3:7" x14ac:dyDescent="0.2">
      <c r="C102" s="24" t="s">
        <v>74</v>
      </c>
    </row>
    <row r="104" spans="3:7" x14ac:dyDescent="0.2">
      <c r="C104" s="61" t="s">
        <v>2</v>
      </c>
      <c r="D104" s="61" t="s">
        <v>7</v>
      </c>
      <c r="E104" s="61" t="s">
        <v>8</v>
      </c>
      <c r="F104" s="61" t="s">
        <v>9</v>
      </c>
      <c r="G104" s="61" t="b">
        <v>1</v>
      </c>
    </row>
    <row r="105" spans="3:7" x14ac:dyDescent="0.2">
      <c r="C105" s="62"/>
      <c r="D105" s="63" t="s">
        <v>10</v>
      </c>
      <c r="E105" s="33" t="s">
        <v>11</v>
      </c>
      <c r="F105" s="33">
        <v>1</v>
      </c>
      <c r="G105" s="33" t="s">
        <v>12</v>
      </c>
    </row>
    <row r="106" spans="3:7" x14ac:dyDescent="0.2">
      <c r="C106" s="62" t="s">
        <v>13</v>
      </c>
      <c r="D106" s="64" t="s">
        <v>14</v>
      </c>
      <c r="E106" s="94"/>
      <c r="F106" s="95"/>
      <c r="G106" s="95"/>
    </row>
    <row r="107" spans="3:7" x14ac:dyDescent="0.2">
      <c r="C107" s="62" t="s">
        <v>15</v>
      </c>
      <c r="D107" s="64" t="s">
        <v>16</v>
      </c>
      <c r="E107" s="95"/>
      <c r="F107" s="95"/>
      <c r="G107" s="95"/>
    </row>
    <row r="108" spans="3:7" ht="30" x14ac:dyDescent="0.2">
      <c r="C108" s="62" t="s">
        <v>3</v>
      </c>
      <c r="D108" s="64" t="s">
        <v>18</v>
      </c>
      <c r="E108" s="95"/>
      <c r="F108" s="95"/>
      <c r="G108" s="95"/>
    </row>
    <row r="109" spans="3:7" ht="30" x14ac:dyDescent="0.2">
      <c r="C109" s="62" t="s">
        <v>13</v>
      </c>
      <c r="D109" s="64" t="s">
        <v>22</v>
      </c>
      <c r="E109" s="95"/>
      <c r="F109" s="95"/>
      <c r="G109" s="95"/>
    </row>
    <row r="110" spans="3:7" x14ac:dyDescent="0.2">
      <c r="C110" s="62" t="s">
        <v>4</v>
      </c>
      <c r="D110" s="64" t="s">
        <v>26</v>
      </c>
      <c r="E110" s="95"/>
      <c r="F110" s="95"/>
      <c r="G110" s="95"/>
    </row>
    <row r="111" spans="3:7" x14ac:dyDescent="0.2">
      <c r="C111" s="62" t="s">
        <v>5</v>
      </c>
      <c r="D111" s="64" t="s">
        <v>31</v>
      </c>
      <c r="E111" s="95"/>
      <c r="F111" s="95"/>
      <c r="G111" s="95"/>
    </row>
    <row r="112" spans="3:7" x14ac:dyDescent="0.2">
      <c r="C112" s="62" t="s">
        <v>4</v>
      </c>
      <c r="D112" s="70" t="s">
        <v>34</v>
      </c>
      <c r="E112" s="95"/>
      <c r="F112" s="95"/>
      <c r="G112" s="95"/>
    </row>
    <row r="113" spans="3:7" x14ac:dyDescent="0.2">
      <c r="C113" s="62" t="s">
        <v>3</v>
      </c>
      <c r="D113" s="64" t="s">
        <v>39</v>
      </c>
      <c r="E113" s="95"/>
      <c r="F113" s="95"/>
      <c r="G113" s="95"/>
    </row>
    <row r="114" spans="3:7" x14ac:dyDescent="0.2">
      <c r="C114" s="62" t="s">
        <v>13</v>
      </c>
      <c r="D114" s="64" t="s">
        <v>45</v>
      </c>
      <c r="E114" s="95"/>
      <c r="F114" s="95"/>
      <c r="G114" s="95"/>
    </row>
    <row r="115" spans="3:7" x14ac:dyDescent="0.2">
      <c r="C115" s="62" t="s">
        <v>15</v>
      </c>
      <c r="D115" s="64" t="s">
        <v>50</v>
      </c>
      <c r="E115" s="95"/>
      <c r="F115" s="95"/>
      <c r="G115" s="95"/>
    </row>
    <row r="116" spans="3:7" x14ac:dyDescent="0.2">
      <c r="C116" s="62" t="s">
        <v>5</v>
      </c>
      <c r="D116" s="70" t="s">
        <v>55</v>
      </c>
      <c r="E116" s="95"/>
      <c r="F116" s="95"/>
      <c r="G116" s="95"/>
    </row>
    <row r="117" spans="3:7" x14ac:dyDescent="0.2">
      <c r="C117" s="62" t="s">
        <v>4</v>
      </c>
      <c r="D117" s="64" t="s">
        <v>57</v>
      </c>
      <c r="E117" s="95"/>
      <c r="F117" s="95"/>
      <c r="G117" s="95"/>
    </row>
    <row r="118" spans="3:7" x14ac:dyDescent="0.2">
      <c r="C118" s="62" t="s">
        <v>3</v>
      </c>
      <c r="D118" s="64" t="s">
        <v>58</v>
      </c>
      <c r="E118" s="95"/>
      <c r="F118" s="95"/>
      <c r="G118" s="95"/>
    </row>
    <row r="119" spans="3:7" x14ac:dyDescent="0.2">
      <c r="C119" s="62" t="s">
        <v>5</v>
      </c>
      <c r="D119" s="70" t="s">
        <v>61</v>
      </c>
      <c r="E119" s="95"/>
      <c r="F119" s="95"/>
      <c r="G119" s="95"/>
    </row>
    <row r="120" spans="3:7" x14ac:dyDescent="0.2">
      <c r="C120" s="62" t="s">
        <v>15</v>
      </c>
      <c r="D120" s="64" t="s">
        <v>62</v>
      </c>
      <c r="E120" s="95"/>
      <c r="F120" s="95"/>
      <c r="G120" s="95"/>
    </row>
    <row r="121" spans="3:7" ht="30" x14ac:dyDescent="0.2">
      <c r="C121" s="62" t="s">
        <v>3</v>
      </c>
      <c r="D121" s="64" t="s">
        <v>63</v>
      </c>
      <c r="E121" s="95"/>
      <c r="F121" s="95"/>
      <c r="G121" s="95"/>
    </row>
    <row r="122" spans="3:7" x14ac:dyDescent="0.2">
      <c r="C122" s="62" t="s">
        <v>13</v>
      </c>
      <c r="D122" s="64" t="s">
        <v>64</v>
      </c>
      <c r="E122" s="95"/>
      <c r="F122" s="95"/>
      <c r="G122" s="95"/>
    </row>
    <row r="123" spans="3:7" x14ac:dyDescent="0.2">
      <c r="C123" s="62" t="s">
        <v>4</v>
      </c>
      <c r="D123" s="64" t="s">
        <v>65</v>
      </c>
      <c r="E123" s="95"/>
      <c r="F123" s="95"/>
      <c r="G123" s="95"/>
    </row>
    <row r="124" spans="3:7" x14ac:dyDescent="0.2">
      <c r="C124" s="62" t="s">
        <v>5</v>
      </c>
      <c r="D124" s="64" t="s">
        <v>66</v>
      </c>
      <c r="E124" s="95"/>
      <c r="F124" s="95"/>
      <c r="G124" s="95"/>
    </row>
    <row r="125" spans="3:7" ht="30" x14ac:dyDescent="0.2">
      <c r="C125" s="62" t="s">
        <v>13</v>
      </c>
      <c r="D125" s="64" t="s">
        <v>67</v>
      </c>
      <c r="E125" s="95"/>
      <c r="F125" s="95"/>
      <c r="G125" s="95"/>
    </row>
    <row r="126" spans="3:7" x14ac:dyDescent="0.2">
      <c r="C126" s="62" t="s">
        <v>15</v>
      </c>
      <c r="D126" s="70" t="s">
        <v>68</v>
      </c>
      <c r="E126" s="95"/>
      <c r="F126" s="95"/>
      <c r="G126" s="95"/>
    </row>
    <row r="127" spans="3:7" x14ac:dyDescent="0.2">
      <c r="C127" s="62" t="s">
        <v>4</v>
      </c>
      <c r="D127" s="64" t="s">
        <v>69</v>
      </c>
      <c r="E127" s="95"/>
      <c r="F127" s="95"/>
      <c r="G127" s="95"/>
    </row>
    <row r="128" spans="3:7" x14ac:dyDescent="0.2">
      <c r="C128" s="62" t="s">
        <v>5</v>
      </c>
      <c r="D128" s="64" t="s">
        <v>70</v>
      </c>
      <c r="E128" s="95"/>
      <c r="F128" s="95"/>
      <c r="G128" s="95"/>
    </row>
    <row r="129" spans="3:7" x14ac:dyDescent="0.2">
      <c r="C129" s="62" t="s">
        <v>3</v>
      </c>
      <c r="D129" s="64" t="s">
        <v>71</v>
      </c>
      <c r="E129" s="95"/>
      <c r="F129" s="95"/>
      <c r="G129" s="95"/>
    </row>
    <row r="130" spans="3:7" x14ac:dyDescent="0.2">
      <c r="C130" s="62" t="s">
        <v>15</v>
      </c>
      <c r="D130" s="70" t="s">
        <v>72</v>
      </c>
      <c r="E130" s="95"/>
      <c r="F130" s="95"/>
      <c r="G130" s="95"/>
    </row>
  </sheetData>
  <sheetProtection algorithmName="SHA-512" hashValue="8KPX6xpoyyV3iGbRr6axpFjziQm6a6b7xagW16UFMBQDcjOdGRShHbM69ZreXXy7FchL7C2rWT/L54/N0vlRXw==" saltValue="QMPKVB2EPjhj05fHQnaxq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F59085AC-9D7E-4E7E-B7A6-6B2B725ABE01}">
      <formula1>45170</formula1>
      <formula2>49552</formula2>
    </dataValidation>
  </dataValidations>
  <pageMargins left="0.7" right="0.7" top="0.75" bottom="0.75" header="0.3" footer="0.3"/>
  <pageSetup scale="43" fitToHeight="2" orientation="landscape" r:id="rId1"/>
  <rowBreaks count="1" manualBreakCount="1">
    <brk id="37"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1E056-4A1B-4052-8140-CEF99C667AE9}">
  <sheetPr>
    <pageSetUpPr fitToPage="1"/>
  </sheetPr>
  <dimension ref="B2:R130"/>
  <sheetViews>
    <sheetView showGridLines="0" topLeftCell="E1" zoomScaleNormal="100" workbookViewId="0">
      <selection activeCell="J15" sqref="J15"/>
    </sheetView>
  </sheetViews>
  <sheetFormatPr baseColWidth="10" defaultColWidth="9.1640625" defaultRowHeight="15" x14ac:dyDescent="0.2"/>
  <cols>
    <col min="1" max="1" width="9.1640625" style="18"/>
    <col min="2" max="2" width="7.33203125" style="18" customWidth="1"/>
    <col min="3" max="3" width="27.83203125" style="18" bestFit="1" customWidth="1"/>
    <col min="4" max="4" width="45.6640625" style="18" customWidth="1"/>
    <col min="5" max="5" width="13.33203125" style="18" customWidth="1"/>
    <col min="6" max="6" width="13" style="18" customWidth="1"/>
    <col min="7" max="7" width="13.5" style="18" customWidth="1"/>
    <col min="8" max="9" width="9.1640625" style="18"/>
    <col min="10" max="11" width="21.6640625" style="18" customWidth="1"/>
    <col min="12" max="12" width="19.5" style="18" bestFit="1" customWidth="1"/>
    <col min="13" max="13" width="16.1640625" style="18" customWidth="1"/>
    <col min="14" max="14" width="14.5" style="18" customWidth="1"/>
    <col min="15" max="15" width="13.1640625" style="18" customWidth="1"/>
    <col min="16" max="17" width="13.5" style="18" customWidth="1"/>
    <col min="18" max="16384" width="9.1640625" style="18"/>
  </cols>
  <sheetData>
    <row r="2" spans="2:18" x14ac:dyDescent="0.2">
      <c r="C2" s="24" t="s">
        <v>126</v>
      </c>
      <c r="D2" s="18" t="s">
        <v>163</v>
      </c>
    </row>
    <row r="3" spans="2:18" x14ac:dyDescent="0.2">
      <c r="C3" s="24"/>
      <c r="D3" s="18" t="s">
        <v>164</v>
      </c>
    </row>
    <row r="4" spans="2:18" x14ac:dyDescent="0.2">
      <c r="C4" s="24"/>
      <c r="D4" s="18" t="s">
        <v>165</v>
      </c>
    </row>
    <row r="5" spans="2:18" ht="16" thickBot="1" x14ac:dyDescent="0.25">
      <c r="C5" s="24"/>
    </row>
    <row r="6" spans="2:18" ht="16" thickBot="1" x14ac:dyDescent="0.25">
      <c r="C6" s="24" t="s">
        <v>104</v>
      </c>
      <c r="D6" s="27"/>
    </row>
    <row r="7" spans="2:18" ht="16" thickBot="1" x14ac:dyDescent="0.25"/>
    <row r="8" spans="2:18" ht="16" thickBot="1" x14ac:dyDescent="0.25">
      <c r="B8" s="139" t="s">
        <v>200</v>
      </c>
      <c r="C8" s="139"/>
      <c r="D8" s="89"/>
      <c r="E8" s="18" t="s">
        <v>199</v>
      </c>
    </row>
    <row r="10" spans="2:18" x14ac:dyDescent="0.2">
      <c r="C10" s="61" t="s">
        <v>2</v>
      </c>
      <c r="D10" s="61" t="s">
        <v>7</v>
      </c>
      <c r="E10" s="61" t="s">
        <v>8</v>
      </c>
      <c r="F10" s="61" t="s">
        <v>9</v>
      </c>
      <c r="G10" s="61" t="b">
        <v>1</v>
      </c>
    </row>
    <row r="11" spans="2:18" x14ac:dyDescent="0.2">
      <c r="C11" s="62"/>
      <c r="D11" s="63" t="s">
        <v>10</v>
      </c>
      <c r="E11" s="33" t="s">
        <v>11</v>
      </c>
      <c r="F11" s="33">
        <v>1</v>
      </c>
      <c r="G11" s="33" t="s">
        <v>12</v>
      </c>
      <c r="J11" s="18" t="s">
        <v>184</v>
      </c>
    </row>
    <row r="12" spans="2:18" x14ac:dyDescent="0.2">
      <c r="C12" s="62" t="s">
        <v>13</v>
      </c>
      <c r="D12" s="64" t="s">
        <v>14</v>
      </c>
      <c r="E12" s="94"/>
      <c r="F12" s="95"/>
      <c r="G12" s="95"/>
    </row>
    <row r="13" spans="2:18" x14ac:dyDescent="0.2">
      <c r="C13" s="62" t="s">
        <v>15</v>
      </c>
      <c r="D13" s="64" t="s">
        <v>16</v>
      </c>
      <c r="E13" s="95"/>
      <c r="F13" s="95"/>
      <c r="G13" s="95"/>
      <c r="J13" s="24" t="s">
        <v>17</v>
      </c>
    </row>
    <row r="14" spans="2:18" ht="30" x14ac:dyDescent="0.2">
      <c r="C14" s="62" t="s">
        <v>3</v>
      </c>
      <c r="D14" s="64" t="s">
        <v>18</v>
      </c>
      <c r="E14" s="95"/>
      <c r="F14" s="95"/>
      <c r="G14" s="95"/>
      <c r="J14" s="61" t="s">
        <v>2</v>
      </c>
      <c r="K14" s="61" t="s">
        <v>203</v>
      </c>
      <c r="L14" s="61" t="s">
        <v>204</v>
      </c>
      <c r="M14" s="61" t="s">
        <v>19</v>
      </c>
      <c r="N14" s="61" t="s">
        <v>20</v>
      </c>
      <c r="O14" s="184" t="s">
        <v>21</v>
      </c>
      <c r="P14" s="185"/>
      <c r="Q14" s="185"/>
      <c r="R14" s="186"/>
    </row>
    <row r="15" spans="2:18" ht="30" x14ac:dyDescent="0.2">
      <c r="C15" s="62" t="s">
        <v>13</v>
      </c>
      <c r="D15" s="64" t="s">
        <v>22</v>
      </c>
      <c r="E15" s="95"/>
      <c r="F15" s="95"/>
      <c r="G15" s="95"/>
      <c r="J15" s="61" t="s">
        <v>3</v>
      </c>
      <c r="K15" s="120">
        <f>SUM(E14,F14,G14,E19,F19,G19,E27,F27,G27,E24,F24,G24,E35,F35,G35)</f>
        <v>0</v>
      </c>
      <c r="L15" s="120">
        <f>SUM(E47,F47,G47,E52,F52,G52,E60,F60,G60,E57,F57,G57,E68,F68,G68)</f>
        <v>0</v>
      </c>
      <c r="M15" s="121">
        <f>SUM(E78,F78,G78,E83,F83,G83,E91,F91,G91,E88,F88,G88,E99,F99,G99)</f>
        <v>0</v>
      </c>
      <c r="N15" s="121">
        <f>SUM(E108,F108,G108,E113,F113,G113,E118,F118,G118,E121,F121,G121,E129,F129,G129)</f>
        <v>0</v>
      </c>
      <c r="O15" s="74" t="s">
        <v>23</v>
      </c>
      <c r="P15" s="75">
        <v>4</v>
      </c>
      <c r="Q15" s="76" t="s">
        <v>24</v>
      </c>
      <c r="R15" s="77" t="s">
        <v>25</v>
      </c>
    </row>
    <row r="16" spans="2:18" x14ac:dyDescent="0.2">
      <c r="C16" s="62" t="s">
        <v>4</v>
      </c>
      <c r="D16" s="64" t="s">
        <v>26</v>
      </c>
      <c r="E16" s="95"/>
      <c r="F16" s="95"/>
      <c r="G16" s="95"/>
      <c r="J16" s="61" t="s">
        <v>5</v>
      </c>
      <c r="K16" s="120">
        <f>SUM(E17,F17,G17,E22,F22,G22,E25,F25,G25,E30,F30,G30,E34,F34,G34)</f>
        <v>0</v>
      </c>
      <c r="L16" s="120">
        <f>SUM(E50,F50,G50,E55,F55,G55,E58,F58,G58,E63,F63,G63,E67,F67,G67)</f>
        <v>0</v>
      </c>
      <c r="M16" s="121">
        <f>SUM(E81,F81,G81,E86,F86,G86,E89,F89,G89,E94,F94,G94,E98,F98,G98)</f>
        <v>0</v>
      </c>
      <c r="N16" s="121">
        <f>SUM(E111,F111,G111,E116,F116,G116,E119,F119,G119,E124,F124,G124,E128,F128,G128)</f>
        <v>0</v>
      </c>
      <c r="O16" s="74" t="s">
        <v>27</v>
      </c>
      <c r="P16" s="75" t="s">
        <v>28</v>
      </c>
      <c r="Q16" s="76" t="s">
        <v>29</v>
      </c>
      <c r="R16" s="77" t="s">
        <v>30</v>
      </c>
    </row>
    <row r="17" spans="3:18" x14ac:dyDescent="0.2">
      <c r="C17" s="62" t="s">
        <v>5</v>
      </c>
      <c r="D17" s="64" t="s">
        <v>31</v>
      </c>
      <c r="E17" s="95"/>
      <c r="F17" s="95"/>
      <c r="G17" s="95"/>
      <c r="J17" s="61" t="s">
        <v>4</v>
      </c>
      <c r="K17" s="120">
        <f>SUM(E16,F16,G16,E18,F18,G18,E23,F23,G23,E29,F29,G29,E33,F33,G33)</f>
        <v>0</v>
      </c>
      <c r="L17" s="120">
        <f>SUM(E49,F49,G49,E51,F51,G51,E62,F62,G62,E56,F56,G56,E66,F66,G66)</f>
        <v>0</v>
      </c>
      <c r="M17" s="120">
        <f>SUM(E80,F80,G80,E82,F82,G82,E87,F87,G87,E93,F93,G93,E97,F97,G97)</f>
        <v>0</v>
      </c>
      <c r="N17" s="121">
        <f>SUM(E110,F110,G110,E112,F112,G112,E117,F117,G117,E123,F123,G123,E127,F127,G127)</f>
        <v>0</v>
      </c>
      <c r="O17" s="74" t="s">
        <v>27</v>
      </c>
      <c r="P17" s="75" t="s">
        <v>28</v>
      </c>
      <c r="Q17" s="76" t="s">
        <v>32</v>
      </c>
      <c r="R17" s="77" t="s">
        <v>33</v>
      </c>
    </row>
    <row r="18" spans="3:18" x14ac:dyDescent="0.2">
      <c r="C18" s="62" t="s">
        <v>4</v>
      </c>
      <c r="D18" s="70" t="s">
        <v>34</v>
      </c>
      <c r="E18" s="95"/>
      <c r="F18" s="95"/>
      <c r="G18" s="95"/>
      <c r="J18" s="61" t="s">
        <v>15</v>
      </c>
      <c r="K18" s="120">
        <f>SUM(E13,F13,G13,E21,F21,G21,E26,F26,G26,E32,F32,G32,E36,F36,G36)</f>
        <v>0</v>
      </c>
      <c r="L18" s="120">
        <f>SUM(E46,F46,G46,E54,F54,G54,E65,F65,G65,E59,F59,G59,E69,F69,G69)</f>
        <v>0</v>
      </c>
      <c r="M18" s="120">
        <f>SUM(E77,F77,G77,E85,F85,G85,E90,F90,G90,E96,F96,G96,E100,F100,G100)</f>
        <v>0</v>
      </c>
      <c r="N18" s="121">
        <f>SUM(E107,F107,G107,E115,F115,G115,E120,F120,G120,E126,F126,G126,E130,F130,G130)</f>
        <v>0</v>
      </c>
      <c r="O18" s="74" t="s">
        <v>35</v>
      </c>
      <c r="P18" s="75" t="s">
        <v>36</v>
      </c>
      <c r="Q18" s="76" t="s">
        <v>37</v>
      </c>
      <c r="R18" s="77" t="s">
        <v>38</v>
      </c>
    </row>
    <row r="19" spans="3:18" x14ac:dyDescent="0.2">
      <c r="C19" s="62" t="s">
        <v>3</v>
      </c>
      <c r="D19" s="64" t="s">
        <v>39</v>
      </c>
      <c r="E19" s="95"/>
      <c r="F19" s="95"/>
      <c r="G19" s="95"/>
      <c r="J19" s="61" t="s">
        <v>40</v>
      </c>
      <c r="K19" s="120">
        <f>SUM(K15:K18)</f>
        <v>0</v>
      </c>
      <c r="L19" s="120">
        <f>SUM(L15:L18)</f>
        <v>0</v>
      </c>
      <c r="M19" s="120">
        <f>SUM(M15:M18)</f>
        <v>0</v>
      </c>
      <c r="N19" s="121">
        <f>SUM(N15:N18)</f>
        <v>0</v>
      </c>
      <c r="O19" s="74" t="s">
        <v>41</v>
      </c>
      <c r="P19" s="75" t="s">
        <v>42</v>
      </c>
      <c r="Q19" s="76" t="s">
        <v>43</v>
      </c>
      <c r="R19" s="77" t="s">
        <v>44</v>
      </c>
    </row>
    <row r="20" spans="3:18" x14ac:dyDescent="0.2">
      <c r="C20" s="62" t="s">
        <v>13</v>
      </c>
      <c r="D20" s="64" t="s">
        <v>45</v>
      </c>
      <c r="E20" s="95"/>
      <c r="F20" s="95"/>
      <c r="G20" s="95"/>
      <c r="J20" s="61" t="s">
        <v>46</v>
      </c>
      <c r="K20" s="120">
        <f>SUM(K15+K16)</f>
        <v>0</v>
      </c>
      <c r="L20" s="120">
        <f>SUM(L15+L16)</f>
        <v>0</v>
      </c>
      <c r="M20" s="120">
        <f>SUM(M15+M16)</f>
        <v>0</v>
      </c>
      <c r="N20" s="120">
        <f>SUM(N15+N16)</f>
        <v>0</v>
      </c>
      <c r="O20" s="74" t="s">
        <v>23</v>
      </c>
      <c r="P20" s="75" t="s">
        <v>47</v>
      </c>
      <c r="Q20" s="76" t="s">
        <v>48</v>
      </c>
      <c r="R20" s="77" t="s">
        <v>49</v>
      </c>
    </row>
    <row r="21" spans="3:18" x14ac:dyDescent="0.2">
      <c r="C21" s="62" t="s">
        <v>15</v>
      </c>
      <c r="D21" s="64" t="s">
        <v>50</v>
      </c>
      <c r="E21" s="95"/>
      <c r="F21" s="95"/>
      <c r="G21" s="95"/>
      <c r="J21" s="61" t="s">
        <v>51</v>
      </c>
      <c r="K21" s="120">
        <f>SUM(K17+K18)</f>
        <v>0</v>
      </c>
      <c r="L21" s="120">
        <f>SUM(L17+L18)</f>
        <v>0</v>
      </c>
      <c r="M21" s="120">
        <f>SUM(M17+M18)</f>
        <v>0</v>
      </c>
      <c r="N21" s="120">
        <f>SUM(N17+N18)</f>
        <v>0</v>
      </c>
      <c r="O21" s="74" t="s">
        <v>52</v>
      </c>
      <c r="P21" s="75" t="s">
        <v>48</v>
      </c>
      <c r="Q21" s="76" t="s">
        <v>53</v>
      </c>
      <c r="R21" s="77" t="s">
        <v>54</v>
      </c>
    </row>
    <row r="22" spans="3:18" x14ac:dyDescent="0.2">
      <c r="C22" s="62" t="s">
        <v>5</v>
      </c>
      <c r="D22" s="70" t="s">
        <v>55</v>
      </c>
      <c r="E22" s="95"/>
      <c r="F22" s="95"/>
      <c r="G22" s="95"/>
      <c r="J22" s="37" t="s">
        <v>56</v>
      </c>
      <c r="K22" s="37"/>
      <c r="L22" s="37"/>
      <c r="M22" s="71"/>
      <c r="N22" s="71"/>
      <c r="O22" s="74" t="s">
        <v>23</v>
      </c>
      <c r="P22" s="75" t="s">
        <v>29</v>
      </c>
      <c r="Q22" s="76" t="s">
        <v>24</v>
      </c>
      <c r="R22" s="77" t="s">
        <v>25</v>
      </c>
    </row>
    <row r="23" spans="3:18" x14ac:dyDescent="0.2">
      <c r="C23" s="62" t="s">
        <v>4</v>
      </c>
      <c r="D23" s="64" t="s">
        <v>57</v>
      </c>
      <c r="E23" s="95"/>
      <c r="F23" s="95"/>
      <c r="G23" s="95"/>
      <c r="J23" s="61"/>
      <c r="K23" s="62"/>
      <c r="L23" s="62"/>
      <c r="M23" s="62"/>
      <c r="N23" s="62"/>
      <c r="O23" s="78"/>
      <c r="P23" s="78"/>
      <c r="Q23" s="78"/>
      <c r="R23" s="78"/>
    </row>
    <row r="24" spans="3:18" x14ac:dyDescent="0.2">
      <c r="C24" s="62" t="s">
        <v>3</v>
      </c>
      <c r="D24" s="64" t="s">
        <v>58</v>
      </c>
      <c r="E24" s="95"/>
      <c r="F24" s="95"/>
      <c r="G24" s="95"/>
      <c r="J24" s="61" t="s">
        <v>13</v>
      </c>
      <c r="K24" s="120">
        <f>SUM(E12,F12,G12,E15,F15,G15,E20,F20,G20,E28,F28,G28,E31,F31,G31)</f>
        <v>0</v>
      </c>
      <c r="L24" s="120">
        <f>SUM(E45,F45,G45,E48,F48,G48,E53,F53,G53,E61,F61,G61,E64,F64,G64)</f>
        <v>0</v>
      </c>
      <c r="M24" s="121">
        <f>SUM(E76,F76,G76,E79,F79,G79,E84,F84,G84,E92,F92,G92,E95,F95,G95)</f>
        <v>0</v>
      </c>
      <c r="N24" s="121">
        <f>SUM(E106,F106,G106,E109,F109,G109,E114,F114,G114,E122,F122,G122,E125,F125,G125)</f>
        <v>0</v>
      </c>
      <c r="O24" s="74" t="s">
        <v>48</v>
      </c>
      <c r="P24" s="75" t="s">
        <v>59</v>
      </c>
      <c r="Q24" s="76" t="s">
        <v>60</v>
      </c>
      <c r="R24" s="77" t="s">
        <v>35</v>
      </c>
    </row>
    <row r="25" spans="3:18" x14ac:dyDescent="0.2">
      <c r="C25" s="62" t="s">
        <v>5</v>
      </c>
      <c r="D25" s="70" t="s">
        <v>61</v>
      </c>
      <c r="E25" s="95"/>
      <c r="F25" s="95"/>
      <c r="G25" s="95"/>
    </row>
    <row r="26" spans="3:18" x14ac:dyDescent="0.2">
      <c r="C26" s="62" t="s">
        <v>15</v>
      </c>
      <c r="D26" s="64" t="s">
        <v>62</v>
      </c>
      <c r="E26" s="95"/>
      <c r="F26" s="95"/>
      <c r="G26" s="95"/>
    </row>
    <row r="27" spans="3:18" ht="30" x14ac:dyDescent="0.2">
      <c r="C27" s="62" t="s">
        <v>3</v>
      </c>
      <c r="D27" s="64" t="s">
        <v>63</v>
      </c>
      <c r="E27" s="95"/>
      <c r="F27" s="95"/>
      <c r="G27" s="95"/>
    </row>
    <row r="28" spans="3:18" x14ac:dyDescent="0.2">
      <c r="C28" s="62" t="s">
        <v>13</v>
      </c>
      <c r="D28" s="64" t="s">
        <v>64</v>
      </c>
      <c r="E28" s="95"/>
      <c r="F28" s="95"/>
      <c r="G28" s="95"/>
    </row>
    <row r="29" spans="3:18" x14ac:dyDescent="0.2">
      <c r="C29" s="62" t="s">
        <v>4</v>
      </c>
      <c r="D29" s="64" t="s">
        <v>65</v>
      </c>
      <c r="E29" s="95"/>
      <c r="F29" s="95"/>
      <c r="G29" s="95"/>
    </row>
    <row r="30" spans="3:18" x14ac:dyDescent="0.2">
      <c r="C30" s="62" t="s">
        <v>5</v>
      </c>
      <c r="D30" s="64" t="s">
        <v>66</v>
      </c>
      <c r="E30" s="95"/>
      <c r="F30" s="95"/>
      <c r="G30" s="95"/>
    </row>
    <row r="31" spans="3:18" ht="30" x14ac:dyDescent="0.2">
      <c r="C31" s="62" t="s">
        <v>13</v>
      </c>
      <c r="D31" s="64" t="s">
        <v>67</v>
      </c>
      <c r="E31" s="95"/>
      <c r="F31" s="95"/>
      <c r="G31" s="95"/>
    </row>
    <row r="32" spans="3:18" x14ac:dyDescent="0.2">
      <c r="C32" s="62" t="s">
        <v>15</v>
      </c>
      <c r="D32" s="70" t="s">
        <v>68</v>
      </c>
      <c r="E32" s="95"/>
      <c r="F32" s="95"/>
      <c r="G32" s="95"/>
    </row>
    <row r="33" spans="2:17" x14ac:dyDescent="0.2">
      <c r="C33" s="62" t="s">
        <v>4</v>
      </c>
      <c r="D33" s="64" t="s">
        <v>69</v>
      </c>
      <c r="E33" s="95"/>
      <c r="F33" s="95"/>
      <c r="G33" s="95"/>
    </row>
    <row r="34" spans="2:17" x14ac:dyDescent="0.2">
      <c r="C34" s="62" t="s">
        <v>5</v>
      </c>
      <c r="D34" s="64" t="s">
        <v>70</v>
      </c>
      <c r="E34" s="95"/>
      <c r="F34" s="95"/>
      <c r="G34" s="95"/>
    </row>
    <row r="35" spans="2:17" x14ac:dyDescent="0.2">
      <c r="C35" s="62" t="s">
        <v>3</v>
      </c>
      <c r="D35" s="64" t="s">
        <v>71</v>
      </c>
      <c r="E35" s="95"/>
      <c r="F35" s="95"/>
      <c r="G35" s="95"/>
    </row>
    <row r="36" spans="2:17" x14ac:dyDescent="0.2">
      <c r="C36" s="62" t="s">
        <v>15</v>
      </c>
      <c r="D36" s="70" t="s">
        <v>72</v>
      </c>
      <c r="E36" s="95"/>
      <c r="F36" s="95"/>
      <c r="G36" s="95"/>
    </row>
    <row r="40" spans="2:17" ht="16" thickBot="1" x14ac:dyDescent="0.25"/>
    <row r="41" spans="2:17" ht="16" thickBot="1" x14ac:dyDescent="0.25">
      <c r="B41" s="139" t="s">
        <v>201</v>
      </c>
      <c r="C41" s="141"/>
      <c r="D41" s="89"/>
      <c r="E41" s="18" t="s">
        <v>199</v>
      </c>
      <c r="J41" s="24" t="s">
        <v>159</v>
      </c>
    </row>
    <row r="43" spans="2:17" x14ac:dyDescent="0.2">
      <c r="C43" s="61" t="s">
        <v>2</v>
      </c>
      <c r="D43" s="61" t="s">
        <v>7</v>
      </c>
      <c r="E43" s="61" t="s">
        <v>8</v>
      </c>
      <c r="F43" s="61" t="s">
        <v>9</v>
      </c>
      <c r="G43" s="61" t="b">
        <v>1</v>
      </c>
      <c r="J43" s="24" t="s">
        <v>162</v>
      </c>
    </row>
    <row r="44" spans="2:17" ht="16" thickBot="1" x14ac:dyDescent="0.25">
      <c r="C44" s="62"/>
      <c r="D44" s="63" t="s">
        <v>10</v>
      </c>
      <c r="E44" s="33" t="s">
        <v>11</v>
      </c>
      <c r="F44" s="33">
        <v>1</v>
      </c>
      <c r="G44" s="33" t="s">
        <v>12</v>
      </c>
      <c r="J44" s="18" t="s">
        <v>166</v>
      </c>
    </row>
    <row r="45" spans="2:17" x14ac:dyDescent="0.2">
      <c r="C45" s="62" t="s">
        <v>13</v>
      </c>
      <c r="D45" s="64" t="s">
        <v>14</v>
      </c>
      <c r="E45" s="94"/>
      <c r="F45" s="95"/>
      <c r="G45" s="95"/>
      <c r="J45" s="96" t="s">
        <v>202</v>
      </c>
      <c r="K45" s="97" t="str" cm="1">
        <f t="array" ref="K45">_xlfn.LET(
  _xlpm.dataRange, E12:G36,
  _xlpm.rowCounts, _xlfn.BYROW(_xlpm.dataRange, _xlfn.LAMBDA(_xlpm.row, COUNTA(_xlpm.row))),
  _xlpm.valid, AND(_xlpm.rowCounts=1),
  IF(COUNTA(_xlpm.dataRange)=0, "", IF(_xlpm.valid, "Complete", "Incomplete"))
)</f>
        <v/>
      </c>
    </row>
    <row r="46" spans="2:17" x14ac:dyDescent="0.2">
      <c r="C46" s="62" t="s">
        <v>15</v>
      </c>
      <c r="D46" s="64" t="s">
        <v>16</v>
      </c>
      <c r="E46" s="95"/>
      <c r="F46" s="95"/>
      <c r="G46" s="95"/>
      <c r="J46" s="98" t="s">
        <v>191</v>
      </c>
      <c r="K46" s="99" t="str" cm="1">
        <f t="array" ref="K46">_xlfn.LET(
  _xlpm.dataRange, E45:G69,
  _xlpm.rowCounts, _xlfn.BYROW(_xlpm.dataRange, _xlfn.LAMBDA(_xlpm.row, COUNTA(_xlpm.row))),
  _xlpm.valid, AND(_xlpm.rowCounts=1),
  IF(COUNTA(_xlpm.dataRange)=0, "", IF(_xlpm.valid, "Complete", "Incomplete"))
)</f>
        <v/>
      </c>
    </row>
    <row r="47" spans="2:17" ht="30" x14ac:dyDescent="0.2">
      <c r="C47" s="62" t="s">
        <v>3</v>
      </c>
      <c r="D47" s="64" t="s">
        <v>18</v>
      </c>
      <c r="E47" s="95"/>
      <c r="F47" s="95"/>
      <c r="G47" s="95"/>
      <c r="J47" s="98" t="s">
        <v>160</v>
      </c>
      <c r="K47" s="99" t="str" cm="1">
        <f t="array" ref="K47">_xlfn.LET(
  _xlpm.dataRange, E76:G100,
  _xlpm.rowCounts, _xlfn.BYROW(_xlpm.dataRange, _xlfn.LAMBDA(_xlpm.row, COUNTA(_xlpm.row))),
  _xlpm.valid, AND(_xlpm.rowCounts=1),
  IF(COUNTA(_xlpm.dataRange)=0, "", IF(_xlpm.valid, "Complete", "Incomplete"))
)</f>
        <v/>
      </c>
      <c r="N47" s="187"/>
      <c r="O47" s="187"/>
      <c r="P47" s="187"/>
      <c r="Q47" s="73"/>
    </row>
    <row r="48" spans="2:17" ht="31" thickBot="1" x14ac:dyDescent="0.25">
      <c r="C48" s="62" t="s">
        <v>13</v>
      </c>
      <c r="D48" s="64" t="s">
        <v>22</v>
      </c>
      <c r="E48" s="95"/>
      <c r="F48" s="95"/>
      <c r="G48" s="95"/>
      <c r="J48" s="100" t="s">
        <v>161</v>
      </c>
      <c r="K48" s="101" t="str" cm="1">
        <f t="array" ref="K48">_xlfn.LET(
  _xlpm.dataRange, E106:G130,
  _xlpm.rowCounts, _xlfn.BYROW(_xlpm.dataRange, _xlfn.LAMBDA(_xlpm.row, COUNTA(_xlpm.row))),
  _xlpm.valid, AND(_xlpm.rowCounts=1),
  IF(COUNTA(_xlpm.dataRange)=0, "", IF(_xlpm.valid, "Complete", "Incomplete"))
)</f>
        <v/>
      </c>
    </row>
    <row r="49" spans="3:7" x14ac:dyDescent="0.2">
      <c r="C49" s="62" t="s">
        <v>4</v>
      </c>
      <c r="D49" s="64" t="s">
        <v>26</v>
      </c>
      <c r="E49" s="95"/>
      <c r="F49" s="95"/>
      <c r="G49" s="95"/>
    </row>
    <row r="50" spans="3:7" x14ac:dyDescent="0.2">
      <c r="C50" s="62" t="s">
        <v>5</v>
      </c>
      <c r="D50" s="64" t="s">
        <v>31</v>
      </c>
      <c r="E50" s="95"/>
      <c r="F50" s="95"/>
      <c r="G50" s="95"/>
    </row>
    <row r="51" spans="3:7" x14ac:dyDescent="0.2">
      <c r="C51" s="62" t="s">
        <v>4</v>
      </c>
      <c r="D51" s="70" t="s">
        <v>34</v>
      </c>
      <c r="E51" s="95"/>
      <c r="F51" s="95"/>
      <c r="G51" s="95"/>
    </row>
    <row r="52" spans="3:7" x14ac:dyDescent="0.2">
      <c r="C52" s="62" t="s">
        <v>3</v>
      </c>
      <c r="D52" s="64" t="s">
        <v>39</v>
      </c>
      <c r="E52" s="95"/>
      <c r="F52" s="95"/>
      <c r="G52" s="95"/>
    </row>
    <row r="53" spans="3:7" x14ac:dyDescent="0.2">
      <c r="C53" s="62" t="s">
        <v>13</v>
      </c>
      <c r="D53" s="64" t="s">
        <v>45</v>
      </c>
      <c r="E53" s="95"/>
      <c r="F53" s="95"/>
      <c r="G53" s="95"/>
    </row>
    <row r="54" spans="3:7" x14ac:dyDescent="0.2">
      <c r="C54" s="62" t="s">
        <v>15</v>
      </c>
      <c r="D54" s="64" t="s">
        <v>50</v>
      </c>
      <c r="E54" s="95"/>
      <c r="F54" s="95"/>
      <c r="G54" s="95"/>
    </row>
    <row r="55" spans="3:7" x14ac:dyDescent="0.2">
      <c r="C55" s="62" t="s">
        <v>5</v>
      </c>
      <c r="D55" s="70" t="s">
        <v>55</v>
      </c>
      <c r="E55" s="95"/>
      <c r="F55" s="95"/>
      <c r="G55" s="95"/>
    </row>
    <row r="56" spans="3:7" x14ac:dyDescent="0.2">
      <c r="C56" s="62" t="s">
        <v>4</v>
      </c>
      <c r="D56" s="64" t="s">
        <v>57</v>
      </c>
      <c r="E56" s="95"/>
      <c r="F56" s="95"/>
      <c r="G56" s="95"/>
    </row>
    <row r="57" spans="3:7" x14ac:dyDescent="0.2">
      <c r="C57" s="62" t="s">
        <v>3</v>
      </c>
      <c r="D57" s="64" t="s">
        <v>58</v>
      </c>
      <c r="E57" s="95"/>
      <c r="F57" s="95"/>
      <c r="G57" s="95"/>
    </row>
    <row r="58" spans="3:7" x14ac:dyDescent="0.2">
      <c r="C58" s="62" t="s">
        <v>5</v>
      </c>
      <c r="D58" s="70" t="s">
        <v>61</v>
      </c>
      <c r="E58" s="95"/>
      <c r="F58" s="95"/>
      <c r="G58" s="95"/>
    </row>
    <row r="59" spans="3:7" x14ac:dyDescent="0.2">
      <c r="C59" s="62" t="s">
        <v>15</v>
      </c>
      <c r="D59" s="64" t="s">
        <v>62</v>
      </c>
      <c r="E59" s="95"/>
      <c r="F59" s="95"/>
      <c r="G59" s="95"/>
    </row>
    <row r="60" spans="3:7" ht="30" x14ac:dyDescent="0.2">
      <c r="C60" s="62" t="s">
        <v>3</v>
      </c>
      <c r="D60" s="64" t="s">
        <v>63</v>
      </c>
      <c r="E60" s="95"/>
      <c r="F60" s="95"/>
      <c r="G60" s="95"/>
    </row>
    <row r="61" spans="3:7" x14ac:dyDescent="0.2">
      <c r="C61" s="62" t="s">
        <v>13</v>
      </c>
      <c r="D61" s="64" t="s">
        <v>64</v>
      </c>
      <c r="E61" s="95"/>
      <c r="F61" s="95"/>
      <c r="G61" s="95"/>
    </row>
    <row r="62" spans="3:7" x14ac:dyDescent="0.2">
      <c r="C62" s="62" t="s">
        <v>4</v>
      </c>
      <c r="D62" s="64" t="s">
        <v>65</v>
      </c>
      <c r="E62" s="95"/>
      <c r="F62" s="95"/>
      <c r="G62" s="95"/>
    </row>
    <row r="63" spans="3:7" x14ac:dyDescent="0.2">
      <c r="C63" s="62" t="s">
        <v>5</v>
      </c>
      <c r="D63" s="64" t="s">
        <v>66</v>
      </c>
      <c r="E63" s="95"/>
      <c r="F63" s="95"/>
      <c r="G63" s="95"/>
    </row>
    <row r="64" spans="3:7" ht="30" x14ac:dyDescent="0.2">
      <c r="C64" s="62" t="s">
        <v>13</v>
      </c>
      <c r="D64" s="64" t="s">
        <v>67</v>
      </c>
      <c r="E64" s="95"/>
      <c r="F64" s="95"/>
      <c r="G64" s="95"/>
    </row>
    <row r="65" spans="3:17" x14ac:dyDescent="0.2">
      <c r="C65" s="62" t="s">
        <v>15</v>
      </c>
      <c r="D65" s="70" t="s">
        <v>68</v>
      </c>
      <c r="E65" s="95"/>
      <c r="F65" s="95"/>
      <c r="G65" s="95"/>
    </row>
    <row r="66" spans="3:17" x14ac:dyDescent="0.2">
      <c r="C66" s="62" t="s">
        <v>4</v>
      </c>
      <c r="D66" s="64" t="s">
        <v>69</v>
      </c>
      <c r="E66" s="95"/>
      <c r="F66" s="95"/>
      <c r="G66" s="95"/>
    </row>
    <row r="67" spans="3:17" x14ac:dyDescent="0.2">
      <c r="C67" s="62" t="s">
        <v>5</v>
      </c>
      <c r="D67" s="64" t="s">
        <v>70</v>
      </c>
      <c r="E67" s="95"/>
      <c r="F67" s="95"/>
      <c r="G67" s="95"/>
    </row>
    <row r="68" spans="3:17" x14ac:dyDescent="0.2">
      <c r="C68" s="62" t="s">
        <v>3</v>
      </c>
      <c r="D68" s="64" t="s">
        <v>71</v>
      </c>
      <c r="E68" s="95"/>
      <c r="F68" s="95"/>
      <c r="G68" s="95"/>
    </row>
    <row r="69" spans="3:17" x14ac:dyDescent="0.2">
      <c r="C69" s="62" t="s">
        <v>15</v>
      </c>
      <c r="D69" s="70" t="s">
        <v>72</v>
      </c>
      <c r="E69" s="95"/>
      <c r="F69" s="95"/>
      <c r="G69" s="95"/>
    </row>
    <row r="72" spans="3:17" x14ac:dyDescent="0.2">
      <c r="C72" s="24" t="s">
        <v>73</v>
      </c>
    </row>
    <row r="74" spans="3:17" x14ac:dyDescent="0.2">
      <c r="C74" s="61" t="s">
        <v>2</v>
      </c>
      <c r="D74" s="61" t="s">
        <v>7</v>
      </c>
      <c r="E74" s="61" t="s">
        <v>8</v>
      </c>
      <c r="F74" s="61" t="s">
        <v>9</v>
      </c>
      <c r="G74" s="61" t="b">
        <v>1</v>
      </c>
    </row>
    <row r="75" spans="3:17" x14ac:dyDescent="0.2">
      <c r="C75" s="62"/>
      <c r="D75" s="63" t="s">
        <v>10</v>
      </c>
      <c r="E75" s="33" t="s">
        <v>11</v>
      </c>
      <c r="F75" s="33">
        <v>1</v>
      </c>
      <c r="G75" s="33" t="s">
        <v>12</v>
      </c>
    </row>
    <row r="76" spans="3:17" x14ac:dyDescent="0.2">
      <c r="C76" s="62" t="s">
        <v>13</v>
      </c>
      <c r="D76" s="64" t="s">
        <v>14</v>
      </c>
      <c r="E76" s="94"/>
      <c r="F76" s="95"/>
      <c r="G76" s="95"/>
    </row>
    <row r="77" spans="3:17" x14ac:dyDescent="0.2">
      <c r="C77" s="62" t="s">
        <v>15</v>
      </c>
      <c r="D77" s="64" t="s">
        <v>16</v>
      </c>
      <c r="E77" s="95"/>
      <c r="F77" s="95"/>
      <c r="G77" s="95"/>
      <c r="J77" s="24"/>
    </row>
    <row r="78" spans="3:17" ht="30" x14ac:dyDescent="0.2">
      <c r="C78" s="62" t="s">
        <v>3</v>
      </c>
      <c r="D78" s="64" t="s">
        <v>18</v>
      </c>
      <c r="E78" s="95"/>
      <c r="F78" s="95"/>
      <c r="G78" s="95"/>
      <c r="N78" s="187"/>
      <c r="O78" s="187"/>
      <c r="P78" s="187"/>
      <c r="Q78" s="73"/>
    </row>
    <row r="79" spans="3:17" ht="30" x14ac:dyDescent="0.2">
      <c r="C79" s="62" t="s">
        <v>13</v>
      </c>
      <c r="D79" s="64" t="s">
        <v>22</v>
      </c>
      <c r="E79" s="95"/>
      <c r="F79" s="95"/>
      <c r="G79" s="95"/>
    </row>
    <row r="80" spans="3:17" x14ac:dyDescent="0.2">
      <c r="C80" s="62" t="s">
        <v>4</v>
      </c>
      <c r="D80" s="64" t="s">
        <v>26</v>
      </c>
      <c r="E80" s="95"/>
      <c r="F80" s="95"/>
      <c r="G80" s="95"/>
    </row>
    <row r="81" spans="3:7" x14ac:dyDescent="0.2">
      <c r="C81" s="62" t="s">
        <v>5</v>
      </c>
      <c r="D81" s="64" t="s">
        <v>31</v>
      </c>
      <c r="E81" s="95"/>
      <c r="F81" s="95"/>
      <c r="G81" s="95"/>
    </row>
    <row r="82" spans="3:7" x14ac:dyDescent="0.2">
      <c r="C82" s="62" t="s">
        <v>4</v>
      </c>
      <c r="D82" s="70" t="s">
        <v>34</v>
      </c>
      <c r="E82" s="95"/>
      <c r="F82" s="95"/>
      <c r="G82" s="95"/>
    </row>
    <row r="83" spans="3:7" x14ac:dyDescent="0.2">
      <c r="C83" s="62" t="s">
        <v>3</v>
      </c>
      <c r="D83" s="64" t="s">
        <v>39</v>
      </c>
      <c r="E83" s="95"/>
      <c r="F83" s="95"/>
      <c r="G83" s="95"/>
    </row>
    <row r="84" spans="3:7" x14ac:dyDescent="0.2">
      <c r="C84" s="62" t="s">
        <v>13</v>
      </c>
      <c r="D84" s="64" t="s">
        <v>45</v>
      </c>
      <c r="E84" s="95"/>
      <c r="F84" s="95"/>
      <c r="G84" s="95"/>
    </row>
    <row r="85" spans="3:7" x14ac:dyDescent="0.2">
      <c r="C85" s="62" t="s">
        <v>15</v>
      </c>
      <c r="D85" s="64" t="s">
        <v>50</v>
      </c>
      <c r="E85" s="95"/>
      <c r="F85" s="95"/>
      <c r="G85" s="95"/>
    </row>
    <row r="86" spans="3:7" x14ac:dyDescent="0.2">
      <c r="C86" s="62" t="s">
        <v>5</v>
      </c>
      <c r="D86" s="70" t="s">
        <v>55</v>
      </c>
      <c r="E86" s="95"/>
      <c r="F86" s="95"/>
      <c r="G86" s="95"/>
    </row>
    <row r="87" spans="3:7" x14ac:dyDescent="0.2">
      <c r="C87" s="62" t="s">
        <v>4</v>
      </c>
      <c r="D87" s="64" t="s">
        <v>57</v>
      </c>
      <c r="E87" s="95"/>
      <c r="F87" s="95"/>
      <c r="G87" s="95"/>
    </row>
    <row r="88" spans="3:7" x14ac:dyDescent="0.2">
      <c r="C88" s="62" t="s">
        <v>3</v>
      </c>
      <c r="D88" s="64" t="s">
        <v>58</v>
      </c>
      <c r="E88" s="95"/>
      <c r="F88" s="95"/>
      <c r="G88" s="95"/>
    </row>
    <row r="89" spans="3:7" x14ac:dyDescent="0.2">
      <c r="C89" s="62" t="s">
        <v>5</v>
      </c>
      <c r="D89" s="70" t="s">
        <v>61</v>
      </c>
      <c r="E89" s="95"/>
      <c r="F89" s="95"/>
      <c r="G89" s="95"/>
    </row>
    <row r="90" spans="3:7" x14ac:dyDescent="0.2">
      <c r="C90" s="62" t="s">
        <v>15</v>
      </c>
      <c r="D90" s="64" t="s">
        <v>62</v>
      </c>
      <c r="E90" s="95"/>
      <c r="F90" s="95"/>
      <c r="G90" s="95"/>
    </row>
    <row r="91" spans="3:7" ht="30" x14ac:dyDescent="0.2">
      <c r="C91" s="62" t="s">
        <v>3</v>
      </c>
      <c r="D91" s="64" t="s">
        <v>63</v>
      </c>
      <c r="E91" s="95"/>
      <c r="F91" s="95"/>
      <c r="G91" s="95"/>
    </row>
    <row r="92" spans="3:7" x14ac:dyDescent="0.2">
      <c r="C92" s="62" t="s">
        <v>13</v>
      </c>
      <c r="D92" s="64" t="s">
        <v>64</v>
      </c>
      <c r="E92" s="95"/>
      <c r="F92" s="95"/>
      <c r="G92" s="95"/>
    </row>
    <row r="93" spans="3:7" x14ac:dyDescent="0.2">
      <c r="C93" s="62" t="s">
        <v>4</v>
      </c>
      <c r="D93" s="64" t="s">
        <v>65</v>
      </c>
      <c r="E93" s="95"/>
      <c r="F93" s="95"/>
      <c r="G93" s="95"/>
    </row>
    <row r="94" spans="3:7" x14ac:dyDescent="0.2">
      <c r="C94" s="62" t="s">
        <v>5</v>
      </c>
      <c r="D94" s="64" t="s">
        <v>66</v>
      </c>
      <c r="E94" s="95"/>
      <c r="F94" s="95"/>
      <c r="G94" s="95"/>
    </row>
    <row r="95" spans="3:7" ht="30" x14ac:dyDescent="0.2">
      <c r="C95" s="62" t="s">
        <v>13</v>
      </c>
      <c r="D95" s="64" t="s">
        <v>67</v>
      </c>
      <c r="E95" s="95"/>
      <c r="F95" s="95"/>
      <c r="G95" s="95"/>
    </row>
    <row r="96" spans="3:7" x14ac:dyDescent="0.2">
      <c r="C96" s="62" t="s">
        <v>15</v>
      </c>
      <c r="D96" s="70" t="s">
        <v>68</v>
      </c>
      <c r="E96" s="95"/>
      <c r="F96" s="95"/>
      <c r="G96" s="95"/>
    </row>
    <row r="97" spans="3:7" x14ac:dyDescent="0.2">
      <c r="C97" s="62" t="s">
        <v>4</v>
      </c>
      <c r="D97" s="64" t="s">
        <v>69</v>
      </c>
      <c r="E97" s="95"/>
      <c r="F97" s="95"/>
      <c r="G97" s="95"/>
    </row>
    <row r="98" spans="3:7" x14ac:dyDescent="0.2">
      <c r="C98" s="62" t="s">
        <v>5</v>
      </c>
      <c r="D98" s="64" t="s">
        <v>70</v>
      </c>
      <c r="E98" s="95"/>
      <c r="F98" s="95"/>
      <c r="G98" s="95"/>
    </row>
    <row r="99" spans="3:7" x14ac:dyDescent="0.2">
      <c r="C99" s="62" t="s">
        <v>3</v>
      </c>
      <c r="D99" s="64" t="s">
        <v>71</v>
      </c>
      <c r="E99" s="95"/>
      <c r="F99" s="95"/>
      <c r="G99" s="95"/>
    </row>
    <row r="100" spans="3:7" x14ac:dyDescent="0.2">
      <c r="C100" s="62" t="s">
        <v>15</v>
      </c>
      <c r="D100" s="70" t="s">
        <v>72</v>
      </c>
      <c r="E100" s="95"/>
      <c r="F100" s="95"/>
      <c r="G100" s="95"/>
    </row>
    <row r="102" spans="3:7" x14ac:dyDescent="0.2">
      <c r="C102" s="24" t="s">
        <v>74</v>
      </c>
    </row>
    <row r="104" spans="3:7" x14ac:dyDescent="0.2">
      <c r="C104" s="61" t="s">
        <v>2</v>
      </c>
      <c r="D104" s="61" t="s">
        <v>7</v>
      </c>
      <c r="E104" s="61" t="s">
        <v>8</v>
      </c>
      <c r="F104" s="61" t="s">
        <v>9</v>
      </c>
      <c r="G104" s="61" t="b">
        <v>1</v>
      </c>
    </row>
    <row r="105" spans="3:7" x14ac:dyDescent="0.2">
      <c r="C105" s="62"/>
      <c r="D105" s="63" t="s">
        <v>10</v>
      </c>
      <c r="E105" s="33" t="s">
        <v>11</v>
      </c>
      <c r="F105" s="33">
        <v>1</v>
      </c>
      <c r="G105" s="33" t="s">
        <v>12</v>
      </c>
    </row>
    <row r="106" spans="3:7" x14ac:dyDescent="0.2">
      <c r="C106" s="62" t="s">
        <v>13</v>
      </c>
      <c r="D106" s="64" t="s">
        <v>14</v>
      </c>
      <c r="E106" s="94"/>
      <c r="F106" s="95"/>
      <c r="G106" s="95"/>
    </row>
    <row r="107" spans="3:7" x14ac:dyDescent="0.2">
      <c r="C107" s="62" t="s">
        <v>15</v>
      </c>
      <c r="D107" s="64" t="s">
        <v>16</v>
      </c>
      <c r="E107" s="95"/>
      <c r="F107" s="95"/>
      <c r="G107" s="95"/>
    </row>
    <row r="108" spans="3:7" ht="30" x14ac:dyDescent="0.2">
      <c r="C108" s="62" t="s">
        <v>3</v>
      </c>
      <c r="D108" s="64" t="s">
        <v>18</v>
      </c>
      <c r="E108" s="95"/>
      <c r="F108" s="95"/>
      <c r="G108" s="95"/>
    </row>
    <row r="109" spans="3:7" ht="30" x14ac:dyDescent="0.2">
      <c r="C109" s="62" t="s">
        <v>13</v>
      </c>
      <c r="D109" s="64" t="s">
        <v>22</v>
      </c>
      <c r="E109" s="95"/>
      <c r="F109" s="95"/>
      <c r="G109" s="95"/>
    </row>
    <row r="110" spans="3:7" x14ac:dyDescent="0.2">
      <c r="C110" s="62" t="s">
        <v>4</v>
      </c>
      <c r="D110" s="64" t="s">
        <v>26</v>
      </c>
      <c r="E110" s="95"/>
      <c r="F110" s="95"/>
      <c r="G110" s="95"/>
    </row>
    <row r="111" spans="3:7" x14ac:dyDescent="0.2">
      <c r="C111" s="62" t="s">
        <v>5</v>
      </c>
      <c r="D111" s="64" t="s">
        <v>31</v>
      </c>
      <c r="E111" s="95"/>
      <c r="F111" s="95"/>
      <c r="G111" s="95"/>
    </row>
    <row r="112" spans="3:7" x14ac:dyDescent="0.2">
      <c r="C112" s="62" t="s">
        <v>4</v>
      </c>
      <c r="D112" s="70" t="s">
        <v>34</v>
      </c>
      <c r="E112" s="95"/>
      <c r="F112" s="95"/>
      <c r="G112" s="95"/>
    </row>
    <row r="113" spans="3:7" x14ac:dyDescent="0.2">
      <c r="C113" s="62" t="s">
        <v>3</v>
      </c>
      <c r="D113" s="64" t="s">
        <v>39</v>
      </c>
      <c r="E113" s="95"/>
      <c r="F113" s="95"/>
      <c r="G113" s="95"/>
    </row>
    <row r="114" spans="3:7" x14ac:dyDescent="0.2">
      <c r="C114" s="62" t="s">
        <v>13</v>
      </c>
      <c r="D114" s="64" t="s">
        <v>45</v>
      </c>
      <c r="E114" s="95"/>
      <c r="F114" s="95"/>
      <c r="G114" s="95"/>
    </row>
    <row r="115" spans="3:7" x14ac:dyDescent="0.2">
      <c r="C115" s="62" t="s">
        <v>15</v>
      </c>
      <c r="D115" s="64" t="s">
        <v>50</v>
      </c>
      <c r="E115" s="95"/>
      <c r="F115" s="95"/>
      <c r="G115" s="95"/>
    </row>
    <row r="116" spans="3:7" x14ac:dyDescent="0.2">
      <c r="C116" s="62" t="s">
        <v>5</v>
      </c>
      <c r="D116" s="70" t="s">
        <v>55</v>
      </c>
      <c r="E116" s="95"/>
      <c r="F116" s="95"/>
      <c r="G116" s="95"/>
    </row>
    <row r="117" spans="3:7" x14ac:dyDescent="0.2">
      <c r="C117" s="62" t="s">
        <v>4</v>
      </c>
      <c r="D117" s="64" t="s">
        <v>57</v>
      </c>
      <c r="E117" s="95"/>
      <c r="F117" s="95"/>
      <c r="G117" s="95"/>
    </row>
    <row r="118" spans="3:7" x14ac:dyDescent="0.2">
      <c r="C118" s="62" t="s">
        <v>3</v>
      </c>
      <c r="D118" s="64" t="s">
        <v>58</v>
      </c>
      <c r="E118" s="95"/>
      <c r="F118" s="95"/>
      <c r="G118" s="95"/>
    </row>
    <row r="119" spans="3:7" x14ac:dyDescent="0.2">
      <c r="C119" s="62" t="s">
        <v>5</v>
      </c>
      <c r="D119" s="70" t="s">
        <v>61</v>
      </c>
      <c r="E119" s="95"/>
      <c r="F119" s="95"/>
      <c r="G119" s="95"/>
    </row>
    <row r="120" spans="3:7" x14ac:dyDescent="0.2">
      <c r="C120" s="62" t="s">
        <v>15</v>
      </c>
      <c r="D120" s="64" t="s">
        <v>62</v>
      </c>
      <c r="E120" s="95"/>
      <c r="F120" s="95"/>
      <c r="G120" s="95"/>
    </row>
    <row r="121" spans="3:7" ht="30" x14ac:dyDescent="0.2">
      <c r="C121" s="62" t="s">
        <v>3</v>
      </c>
      <c r="D121" s="64" t="s">
        <v>63</v>
      </c>
      <c r="E121" s="95"/>
      <c r="F121" s="95"/>
      <c r="G121" s="95"/>
    </row>
    <row r="122" spans="3:7" x14ac:dyDescent="0.2">
      <c r="C122" s="62" t="s">
        <v>13</v>
      </c>
      <c r="D122" s="64" t="s">
        <v>64</v>
      </c>
      <c r="E122" s="95"/>
      <c r="F122" s="95"/>
      <c r="G122" s="95"/>
    </row>
    <row r="123" spans="3:7" x14ac:dyDescent="0.2">
      <c r="C123" s="62" t="s">
        <v>4</v>
      </c>
      <c r="D123" s="64" t="s">
        <v>65</v>
      </c>
      <c r="E123" s="95"/>
      <c r="F123" s="95"/>
      <c r="G123" s="95"/>
    </row>
    <row r="124" spans="3:7" x14ac:dyDescent="0.2">
      <c r="C124" s="62" t="s">
        <v>5</v>
      </c>
      <c r="D124" s="64" t="s">
        <v>66</v>
      </c>
      <c r="E124" s="95"/>
      <c r="F124" s="95"/>
      <c r="G124" s="95"/>
    </row>
    <row r="125" spans="3:7" ht="30" x14ac:dyDescent="0.2">
      <c r="C125" s="62" t="s">
        <v>13</v>
      </c>
      <c r="D125" s="64" t="s">
        <v>67</v>
      </c>
      <c r="E125" s="95"/>
      <c r="F125" s="95"/>
      <c r="G125" s="95"/>
    </row>
    <row r="126" spans="3:7" x14ac:dyDescent="0.2">
      <c r="C126" s="62" t="s">
        <v>15</v>
      </c>
      <c r="D126" s="70" t="s">
        <v>68</v>
      </c>
      <c r="E126" s="95"/>
      <c r="F126" s="95"/>
      <c r="G126" s="95"/>
    </row>
    <row r="127" spans="3:7" x14ac:dyDescent="0.2">
      <c r="C127" s="62" t="s">
        <v>4</v>
      </c>
      <c r="D127" s="64" t="s">
        <v>69</v>
      </c>
      <c r="E127" s="95"/>
      <c r="F127" s="95"/>
      <c r="G127" s="95"/>
    </row>
    <row r="128" spans="3:7" x14ac:dyDescent="0.2">
      <c r="C128" s="62" t="s">
        <v>5</v>
      </c>
      <c r="D128" s="64" t="s">
        <v>70</v>
      </c>
      <c r="E128" s="95"/>
      <c r="F128" s="95"/>
      <c r="G128" s="95"/>
    </row>
    <row r="129" spans="3:7" x14ac:dyDescent="0.2">
      <c r="C129" s="62" t="s">
        <v>3</v>
      </c>
      <c r="D129" s="64" t="s">
        <v>71</v>
      </c>
      <c r="E129" s="95"/>
      <c r="F129" s="95"/>
      <c r="G129" s="95"/>
    </row>
    <row r="130" spans="3:7" x14ac:dyDescent="0.2">
      <c r="C130" s="62" t="s">
        <v>15</v>
      </c>
      <c r="D130" s="70" t="s">
        <v>72</v>
      </c>
      <c r="E130" s="95"/>
      <c r="F130" s="95"/>
      <c r="G130" s="95"/>
    </row>
  </sheetData>
  <sheetProtection algorithmName="SHA-512" hashValue="8+j6CycnPTOc6pKzBgI9XbvMS27mr3GRnp7sjHDEXq1vynFmX9zuruF7vAYtGIJNFShJjHACVQAg021kL8Y5MQ==" saltValue="qknHI2QMwU+FIGlnltmWV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F9430AE-37F3-48ED-8AAD-BD3E703C4249}">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18A6B-7486-435A-84C6-D5F8E7202200}">
  <sheetPr>
    <pageSetUpPr fitToPage="1"/>
  </sheetPr>
  <dimension ref="A2:R130"/>
  <sheetViews>
    <sheetView showGridLines="0" topLeftCell="D24" zoomScaleNormal="100" workbookViewId="0">
      <selection activeCell="E106" sqref="E106:G130"/>
    </sheetView>
  </sheetViews>
  <sheetFormatPr baseColWidth="10" defaultColWidth="9.1640625" defaultRowHeight="15" x14ac:dyDescent="0.2"/>
  <cols>
    <col min="1" max="1" width="9.1640625" style="18"/>
    <col min="2" max="2" width="7.33203125" style="18" customWidth="1"/>
    <col min="3" max="3" width="27.83203125" style="18" bestFit="1" customWidth="1"/>
    <col min="4" max="4" width="45.6640625" style="18" customWidth="1"/>
    <col min="5" max="5" width="13.33203125" style="18" customWidth="1"/>
    <col min="6" max="6" width="13" style="18" customWidth="1"/>
    <col min="7" max="7" width="13.5" style="18" customWidth="1"/>
    <col min="8" max="9" width="9.1640625" style="18"/>
    <col min="10" max="11" width="21.6640625" style="18" customWidth="1"/>
    <col min="12" max="12" width="19.5" style="18" bestFit="1" customWidth="1"/>
    <col min="13" max="13" width="16.1640625" style="18" customWidth="1"/>
    <col min="14" max="14" width="14.5" style="18" customWidth="1"/>
    <col min="15" max="15" width="13.1640625" style="18" customWidth="1"/>
    <col min="16" max="17" width="13.5" style="18" customWidth="1"/>
    <col min="18" max="16384" width="9.1640625" style="18"/>
  </cols>
  <sheetData>
    <row r="2" spans="1:18" x14ac:dyDescent="0.2">
      <c r="C2" s="24" t="s">
        <v>126</v>
      </c>
      <c r="D2" s="18" t="s">
        <v>163</v>
      </c>
    </row>
    <row r="3" spans="1:18" x14ac:dyDescent="0.2">
      <c r="C3" s="24"/>
      <c r="D3" s="18" t="s">
        <v>164</v>
      </c>
    </row>
    <row r="4" spans="1:18" x14ac:dyDescent="0.2">
      <c r="C4" s="24"/>
      <c r="D4" s="18" t="s">
        <v>165</v>
      </c>
    </row>
    <row r="5" spans="1:18" ht="16" thickBot="1" x14ac:dyDescent="0.25">
      <c r="C5" s="24"/>
    </row>
    <row r="6" spans="1:18" ht="16" thickBot="1" x14ac:dyDescent="0.25">
      <c r="C6" s="24" t="s">
        <v>104</v>
      </c>
      <c r="D6" s="27"/>
    </row>
    <row r="7" spans="1:18" ht="16" thickBot="1" x14ac:dyDescent="0.25"/>
    <row r="8" spans="1:18" ht="16" thickBot="1" x14ac:dyDescent="0.25">
      <c r="A8" s="25"/>
      <c r="B8" s="140" t="s">
        <v>200</v>
      </c>
      <c r="C8" s="140"/>
      <c r="D8" s="89"/>
      <c r="E8" s="142" t="s">
        <v>199</v>
      </c>
    </row>
    <row r="10" spans="1:18" x14ac:dyDescent="0.2">
      <c r="C10" s="61" t="s">
        <v>2</v>
      </c>
      <c r="D10" s="61" t="s">
        <v>7</v>
      </c>
      <c r="E10" s="61" t="s">
        <v>8</v>
      </c>
      <c r="F10" s="61" t="s">
        <v>9</v>
      </c>
      <c r="G10" s="61" t="b">
        <v>1</v>
      </c>
    </row>
    <row r="11" spans="1:18" x14ac:dyDescent="0.2">
      <c r="C11" s="62"/>
      <c r="D11" s="63" t="s">
        <v>10</v>
      </c>
      <c r="E11" s="33" t="s">
        <v>11</v>
      </c>
      <c r="F11" s="33">
        <v>1</v>
      </c>
      <c r="G11" s="33" t="s">
        <v>12</v>
      </c>
      <c r="J11" s="18" t="s">
        <v>184</v>
      </c>
    </row>
    <row r="12" spans="1:18" x14ac:dyDescent="0.2">
      <c r="C12" s="62" t="s">
        <v>13</v>
      </c>
      <c r="D12" s="64" t="s">
        <v>14</v>
      </c>
      <c r="E12" s="95"/>
      <c r="F12" s="95"/>
      <c r="G12" s="95"/>
    </row>
    <row r="13" spans="1:18" x14ac:dyDescent="0.2">
      <c r="C13" s="62" t="s">
        <v>15</v>
      </c>
      <c r="D13" s="64" t="s">
        <v>16</v>
      </c>
      <c r="E13" s="95"/>
      <c r="F13" s="95"/>
      <c r="G13" s="95"/>
      <c r="J13" s="24" t="s">
        <v>17</v>
      </c>
    </row>
    <row r="14" spans="1:18" ht="30" x14ac:dyDescent="0.2">
      <c r="C14" s="62" t="s">
        <v>3</v>
      </c>
      <c r="D14" s="64" t="s">
        <v>18</v>
      </c>
      <c r="E14" s="95"/>
      <c r="F14" s="95"/>
      <c r="G14" s="95"/>
      <c r="J14" s="61" t="s">
        <v>2</v>
      </c>
      <c r="K14" s="61" t="s">
        <v>203</v>
      </c>
      <c r="L14" s="61" t="s">
        <v>204</v>
      </c>
      <c r="M14" s="61" t="s">
        <v>19</v>
      </c>
      <c r="N14" s="61" t="s">
        <v>20</v>
      </c>
      <c r="O14" s="184" t="s">
        <v>21</v>
      </c>
      <c r="P14" s="185"/>
      <c r="Q14" s="185"/>
      <c r="R14" s="186"/>
    </row>
    <row r="15" spans="1:18" ht="30" x14ac:dyDescent="0.2">
      <c r="C15" s="62" t="s">
        <v>13</v>
      </c>
      <c r="D15" s="64" t="s">
        <v>22</v>
      </c>
      <c r="E15" s="95"/>
      <c r="F15" s="95"/>
      <c r="G15" s="95"/>
      <c r="J15" s="61" t="s">
        <v>3</v>
      </c>
      <c r="K15" s="120">
        <f>SUM(E14,F14,G14,E19,F19,G19,E27,F27,G27,E24,F24,G24,E35,F35,G35)</f>
        <v>0</v>
      </c>
      <c r="L15" s="120">
        <f>SUM(E47,F47,G47,E52,F52,G52,E60,F60,G60,E57,F57,G57,E68,F68,G68)</f>
        <v>0</v>
      </c>
      <c r="M15" s="121">
        <f>SUM(E78,F78,G78,E83,F83,G83,E91,F91,G91,E88,F88,G88,E99,F99,G99)</f>
        <v>0</v>
      </c>
      <c r="N15" s="121">
        <f>SUM(E108,F108,G108,E113,F113,G113,E118,F118,G118,E121,F121,G121,E129,F129,G129)</f>
        <v>0</v>
      </c>
      <c r="O15" s="74" t="s">
        <v>23</v>
      </c>
      <c r="P15" s="75">
        <v>4</v>
      </c>
      <c r="Q15" s="76" t="s">
        <v>24</v>
      </c>
      <c r="R15" s="77" t="s">
        <v>25</v>
      </c>
    </row>
    <row r="16" spans="1:18" x14ac:dyDescent="0.2">
      <c r="C16" s="62" t="s">
        <v>4</v>
      </c>
      <c r="D16" s="64" t="s">
        <v>26</v>
      </c>
      <c r="E16" s="95"/>
      <c r="F16" s="95"/>
      <c r="G16" s="95"/>
      <c r="J16" s="61" t="s">
        <v>5</v>
      </c>
      <c r="K16" s="120">
        <f>SUM(E17,F17,G17,E22,F22,G22,E25,F25,G25,E30,F30,G30,E34,F34,G34)</f>
        <v>0</v>
      </c>
      <c r="L16" s="120">
        <f>SUM(E50,F50,G50,E55,F55,G55,E58,F58,G58,E63,F63,G63,E67,F67,G67)</f>
        <v>0</v>
      </c>
      <c r="M16" s="121">
        <f>SUM(E81,F81,G81,E86,F86,G86,E89,F89,G89,E94,F94,G94,E98,F98,G98)</f>
        <v>0</v>
      </c>
      <c r="N16" s="121">
        <f>SUM(E111,F111,G111,E116,F116,G116,E119,F119,G119,E124,F124,G124,E128,F128,G128)</f>
        <v>0</v>
      </c>
      <c r="O16" s="74" t="s">
        <v>27</v>
      </c>
      <c r="P16" s="75" t="s">
        <v>28</v>
      </c>
      <c r="Q16" s="76" t="s">
        <v>29</v>
      </c>
      <c r="R16" s="77" t="s">
        <v>30</v>
      </c>
    </row>
    <row r="17" spans="3:18" x14ac:dyDescent="0.2">
      <c r="C17" s="62" t="s">
        <v>5</v>
      </c>
      <c r="D17" s="64" t="s">
        <v>31</v>
      </c>
      <c r="E17" s="95"/>
      <c r="F17" s="95"/>
      <c r="G17" s="95"/>
      <c r="J17" s="61" t="s">
        <v>4</v>
      </c>
      <c r="K17" s="120">
        <f>SUM(E16,F16,G16,E18,F18,G18,E23,F23,G23,E29,F29,G29,E33,F33,G33)</f>
        <v>0</v>
      </c>
      <c r="L17" s="120">
        <f>SUM(E49,F49,G49,E51,F51,G51,E62,F62,G62,E56,F56,G56,E66,F66,G66)</f>
        <v>0</v>
      </c>
      <c r="M17" s="120">
        <f>SUM(E80,F80,G80,E82,F82,G82,E87,F87,G87,E93,F93,G93,E97,F97,G97)</f>
        <v>0</v>
      </c>
      <c r="N17" s="121">
        <f>SUM(E110,F110,G110,E112,F112,G112,E117,F117,G117,E123,F123,G123,E127,F127,G127)</f>
        <v>0</v>
      </c>
      <c r="O17" s="74" t="s">
        <v>27</v>
      </c>
      <c r="P17" s="75" t="s">
        <v>28</v>
      </c>
      <c r="Q17" s="76" t="s">
        <v>32</v>
      </c>
      <c r="R17" s="77" t="s">
        <v>33</v>
      </c>
    </row>
    <row r="18" spans="3:18" x14ac:dyDescent="0.2">
      <c r="C18" s="62" t="s">
        <v>4</v>
      </c>
      <c r="D18" s="70" t="s">
        <v>34</v>
      </c>
      <c r="E18" s="95"/>
      <c r="F18" s="95"/>
      <c r="G18" s="95"/>
      <c r="J18" s="61" t="s">
        <v>15</v>
      </c>
      <c r="K18" s="120">
        <f>SUM(E13,F13,G13,E21,F21,G21,E26,F26,G26,E32,F32,G32,E36,F36,G36)</f>
        <v>0</v>
      </c>
      <c r="L18" s="120">
        <f>SUM(E46,F46,G46,E54,F54,G54,E65,F65,G65,E59,F59,G59,E69,F69,G69)</f>
        <v>0</v>
      </c>
      <c r="M18" s="120">
        <f>SUM(E77,F77,G77,E85,F85,G85,E90,F90,G90,E96,F96,G96,E100,F100,G100)</f>
        <v>0</v>
      </c>
      <c r="N18" s="121">
        <f>SUM(E107,F107,G107,E115,F115,G115,E120,F120,G120,E126,F126,G126,E130,F130,G130)</f>
        <v>0</v>
      </c>
      <c r="O18" s="74" t="s">
        <v>35</v>
      </c>
      <c r="P18" s="75" t="s">
        <v>36</v>
      </c>
      <c r="Q18" s="76" t="s">
        <v>37</v>
      </c>
      <c r="R18" s="77" t="s">
        <v>38</v>
      </c>
    </row>
    <row r="19" spans="3:18" x14ac:dyDescent="0.2">
      <c r="C19" s="62" t="s">
        <v>3</v>
      </c>
      <c r="D19" s="64" t="s">
        <v>39</v>
      </c>
      <c r="E19" s="95"/>
      <c r="F19" s="95"/>
      <c r="G19" s="95"/>
      <c r="J19" s="61" t="s">
        <v>40</v>
      </c>
      <c r="K19" s="120">
        <f>SUM(K15:K18)</f>
        <v>0</v>
      </c>
      <c r="L19" s="120">
        <f>SUM(L15:L18)</f>
        <v>0</v>
      </c>
      <c r="M19" s="120">
        <f>SUM(M15:M18)</f>
        <v>0</v>
      </c>
      <c r="N19" s="121">
        <f>SUM(N15:N18)</f>
        <v>0</v>
      </c>
      <c r="O19" s="74" t="s">
        <v>41</v>
      </c>
      <c r="P19" s="75" t="s">
        <v>42</v>
      </c>
      <c r="Q19" s="76" t="s">
        <v>43</v>
      </c>
      <c r="R19" s="77" t="s">
        <v>44</v>
      </c>
    </row>
    <row r="20" spans="3:18" x14ac:dyDescent="0.2">
      <c r="C20" s="62" t="s">
        <v>13</v>
      </c>
      <c r="D20" s="64" t="s">
        <v>45</v>
      </c>
      <c r="E20" s="95"/>
      <c r="F20" s="95"/>
      <c r="G20" s="95"/>
      <c r="J20" s="61" t="s">
        <v>46</v>
      </c>
      <c r="K20" s="120">
        <f>SUM(K15+K16)</f>
        <v>0</v>
      </c>
      <c r="L20" s="120">
        <f>SUM(L15+L16)</f>
        <v>0</v>
      </c>
      <c r="M20" s="120">
        <f>SUM(M15+M16)</f>
        <v>0</v>
      </c>
      <c r="N20" s="120">
        <f>SUM(N15+N16)</f>
        <v>0</v>
      </c>
      <c r="O20" s="74" t="s">
        <v>23</v>
      </c>
      <c r="P20" s="75" t="s">
        <v>47</v>
      </c>
      <c r="Q20" s="76" t="s">
        <v>48</v>
      </c>
      <c r="R20" s="77" t="s">
        <v>49</v>
      </c>
    </row>
    <row r="21" spans="3:18" x14ac:dyDescent="0.2">
      <c r="C21" s="62" t="s">
        <v>15</v>
      </c>
      <c r="D21" s="64" t="s">
        <v>50</v>
      </c>
      <c r="E21" s="95"/>
      <c r="F21" s="95"/>
      <c r="G21" s="95"/>
      <c r="J21" s="61" t="s">
        <v>51</v>
      </c>
      <c r="K21" s="120">
        <f>SUM(K17+K18)</f>
        <v>0</v>
      </c>
      <c r="L21" s="120">
        <f>SUM(L17+L18)</f>
        <v>0</v>
      </c>
      <c r="M21" s="120">
        <f>SUM(M17+M18)</f>
        <v>0</v>
      </c>
      <c r="N21" s="120">
        <f>SUM(N17+N18)</f>
        <v>0</v>
      </c>
      <c r="O21" s="74" t="s">
        <v>52</v>
      </c>
      <c r="P21" s="75" t="s">
        <v>48</v>
      </c>
      <c r="Q21" s="76" t="s">
        <v>53</v>
      </c>
      <c r="R21" s="77" t="s">
        <v>54</v>
      </c>
    </row>
    <row r="22" spans="3:18" x14ac:dyDescent="0.2">
      <c r="C22" s="62" t="s">
        <v>5</v>
      </c>
      <c r="D22" s="70" t="s">
        <v>55</v>
      </c>
      <c r="E22" s="95"/>
      <c r="F22" s="95"/>
      <c r="G22" s="95"/>
      <c r="J22" s="37" t="s">
        <v>56</v>
      </c>
      <c r="K22" s="37"/>
      <c r="L22" s="37"/>
      <c r="M22" s="71"/>
      <c r="N22" s="71"/>
      <c r="O22" s="74" t="s">
        <v>23</v>
      </c>
      <c r="P22" s="75" t="s">
        <v>29</v>
      </c>
      <c r="Q22" s="76" t="s">
        <v>24</v>
      </c>
      <c r="R22" s="77" t="s">
        <v>25</v>
      </c>
    </row>
    <row r="23" spans="3:18" x14ac:dyDescent="0.2">
      <c r="C23" s="62" t="s">
        <v>4</v>
      </c>
      <c r="D23" s="64" t="s">
        <v>57</v>
      </c>
      <c r="E23" s="95"/>
      <c r="F23" s="95"/>
      <c r="G23" s="95"/>
      <c r="J23" s="61"/>
      <c r="K23" s="62"/>
      <c r="L23" s="62"/>
      <c r="M23" s="62"/>
      <c r="N23" s="62"/>
      <c r="O23" s="72"/>
      <c r="P23" s="72"/>
      <c r="Q23" s="72"/>
      <c r="R23" s="72"/>
    </row>
    <row r="24" spans="3:18" x14ac:dyDescent="0.2">
      <c r="C24" s="62" t="s">
        <v>3</v>
      </c>
      <c r="D24" s="64" t="s">
        <v>58</v>
      </c>
      <c r="E24" s="95"/>
      <c r="F24" s="95"/>
      <c r="G24" s="95"/>
      <c r="J24" s="61" t="s">
        <v>13</v>
      </c>
      <c r="K24" s="120">
        <f>SUM(E12,F12,G12,E15,F15,G15,E20,F20,G20,E28,F28,G28,E31,F31,G31)</f>
        <v>0</v>
      </c>
      <c r="L24" s="120">
        <f>SUM(E45,F45,G45,E48,F48,G48,E53,F53,G53,E61,F61,G61,E64,F64,G64)</f>
        <v>0</v>
      </c>
      <c r="M24" s="121">
        <f>SUM(E76,F76,G76,E79,F79,G79,E84,F84,G84,E92,F92,G92,E95,F95,G95)</f>
        <v>0</v>
      </c>
      <c r="N24" s="121">
        <f>SUM(E106,F106,G106,E109,F109,G109,E114,F114,G114,E122,F122,G122,E125,F125,G125)</f>
        <v>0</v>
      </c>
      <c r="O24" s="74" t="s">
        <v>48</v>
      </c>
      <c r="P24" s="75" t="s">
        <v>59</v>
      </c>
      <c r="Q24" s="76" t="s">
        <v>60</v>
      </c>
      <c r="R24" s="77" t="s">
        <v>35</v>
      </c>
    </row>
    <row r="25" spans="3:18" x14ac:dyDescent="0.2">
      <c r="C25" s="62" t="s">
        <v>5</v>
      </c>
      <c r="D25" s="70" t="s">
        <v>61</v>
      </c>
      <c r="E25" s="95"/>
      <c r="F25" s="95"/>
      <c r="G25" s="95"/>
    </row>
    <row r="26" spans="3:18" x14ac:dyDescent="0.2">
      <c r="C26" s="62" t="s">
        <v>15</v>
      </c>
      <c r="D26" s="64" t="s">
        <v>62</v>
      </c>
      <c r="E26" s="95"/>
      <c r="F26" s="95"/>
      <c r="G26" s="95"/>
    </row>
    <row r="27" spans="3:18" ht="30" x14ac:dyDescent="0.2">
      <c r="C27" s="62" t="s">
        <v>3</v>
      </c>
      <c r="D27" s="64" t="s">
        <v>63</v>
      </c>
      <c r="E27" s="95"/>
      <c r="F27" s="95"/>
      <c r="G27" s="95"/>
    </row>
    <row r="28" spans="3:18" x14ac:dyDescent="0.2">
      <c r="C28" s="62" t="s">
        <v>13</v>
      </c>
      <c r="D28" s="64" t="s">
        <v>64</v>
      </c>
      <c r="E28" s="95"/>
      <c r="F28" s="95"/>
      <c r="G28" s="95"/>
    </row>
    <row r="29" spans="3:18" x14ac:dyDescent="0.2">
      <c r="C29" s="62" t="s">
        <v>4</v>
      </c>
      <c r="D29" s="64" t="s">
        <v>65</v>
      </c>
      <c r="E29" s="95"/>
      <c r="F29" s="95"/>
      <c r="G29" s="95"/>
    </row>
    <row r="30" spans="3:18" x14ac:dyDescent="0.2">
      <c r="C30" s="62" t="s">
        <v>5</v>
      </c>
      <c r="D30" s="64" t="s">
        <v>66</v>
      </c>
      <c r="E30" s="95"/>
      <c r="F30" s="95"/>
      <c r="G30" s="95"/>
    </row>
    <row r="31" spans="3:18" ht="30" x14ac:dyDescent="0.2">
      <c r="C31" s="62" t="s">
        <v>13</v>
      </c>
      <c r="D31" s="64" t="s">
        <v>67</v>
      </c>
      <c r="E31" s="95"/>
      <c r="F31" s="95"/>
      <c r="G31" s="95"/>
    </row>
    <row r="32" spans="3:18" x14ac:dyDescent="0.2">
      <c r="C32" s="62" t="s">
        <v>15</v>
      </c>
      <c r="D32" s="70" t="s">
        <v>68</v>
      </c>
      <c r="E32" s="95"/>
      <c r="F32" s="95"/>
      <c r="G32" s="95"/>
    </row>
    <row r="33" spans="2:17" x14ac:dyDescent="0.2">
      <c r="C33" s="62" t="s">
        <v>4</v>
      </c>
      <c r="D33" s="64" t="s">
        <v>69</v>
      </c>
      <c r="E33" s="95"/>
      <c r="F33" s="95"/>
      <c r="G33" s="95"/>
    </row>
    <row r="34" spans="2:17" x14ac:dyDescent="0.2">
      <c r="C34" s="62" t="s">
        <v>5</v>
      </c>
      <c r="D34" s="64" t="s">
        <v>70</v>
      </c>
      <c r="E34" s="95"/>
      <c r="F34" s="95"/>
      <c r="G34" s="95"/>
    </row>
    <row r="35" spans="2:17" x14ac:dyDescent="0.2">
      <c r="C35" s="62" t="s">
        <v>3</v>
      </c>
      <c r="D35" s="64" t="s">
        <v>71</v>
      </c>
      <c r="E35" s="95"/>
      <c r="F35" s="95"/>
      <c r="G35" s="95"/>
    </row>
    <row r="36" spans="2:17" x14ac:dyDescent="0.2">
      <c r="C36" s="62" t="s">
        <v>15</v>
      </c>
      <c r="D36" s="70" t="s">
        <v>72</v>
      </c>
      <c r="E36" s="95"/>
      <c r="F36" s="95"/>
      <c r="G36" s="95"/>
    </row>
    <row r="40" spans="2:17" ht="16" thickBot="1" x14ac:dyDescent="0.25"/>
    <row r="41" spans="2:17" ht="16" thickBot="1" x14ac:dyDescent="0.25">
      <c r="B41" s="139" t="s">
        <v>201</v>
      </c>
      <c r="C41" s="141"/>
      <c r="D41" s="89"/>
      <c r="E41" s="18" t="s">
        <v>199</v>
      </c>
      <c r="J41" s="24" t="s">
        <v>159</v>
      </c>
    </row>
    <row r="43" spans="2:17" x14ac:dyDescent="0.2">
      <c r="C43" s="61" t="s">
        <v>2</v>
      </c>
      <c r="D43" s="61" t="s">
        <v>7</v>
      </c>
      <c r="E43" s="61" t="s">
        <v>8</v>
      </c>
      <c r="F43" s="61" t="s">
        <v>9</v>
      </c>
      <c r="G43" s="61" t="b">
        <v>1</v>
      </c>
      <c r="J43" s="24" t="s">
        <v>162</v>
      </c>
    </row>
    <row r="44" spans="2:17" ht="16" thickBot="1" x14ac:dyDescent="0.25">
      <c r="C44" s="62"/>
      <c r="D44" s="63" t="s">
        <v>10</v>
      </c>
      <c r="E44" s="33" t="s">
        <v>11</v>
      </c>
      <c r="F44" s="33">
        <v>1</v>
      </c>
      <c r="G44" s="33" t="s">
        <v>12</v>
      </c>
      <c r="J44" s="18" t="s">
        <v>166</v>
      </c>
    </row>
    <row r="45" spans="2:17" x14ac:dyDescent="0.2">
      <c r="C45" s="62" t="s">
        <v>13</v>
      </c>
      <c r="D45" s="64" t="s">
        <v>14</v>
      </c>
      <c r="E45" s="95"/>
      <c r="F45" s="95"/>
      <c r="G45" s="95"/>
      <c r="J45" s="96" t="s">
        <v>202</v>
      </c>
      <c r="K45" s="97" t="str" cm="1">
        <f t="array" ref="K45">_xlfn.LET(
  _xlpm.dataRange, E12:G36,
  _xlpm.rowCounts, _xlfn.BYROW(_xlpm.dataRange, _xlfn.LAMBDA(_xlpm.row, COUNTA(_xlpm.row))),
  _xlpm.valid, AND(_xlpm.rowCounts=1),
  IF(COUNTA(_xlpm.dataRange)=0, "", IF(_xlpm.valid, "Complete", "Incomplete"))
)</f>
        <v/>
      </c>
    </row>
    <row r="46" spans="2:17" x14ac:dyDescent="0.2">
      <c r="C46" s="62" t="s">
        <v>15</v>
      </c>
      <c r="D46" s="64" t="s">
        <v>16</v>
      </c>
      <c r="E46" s="95"/>
      <c r="F46" s="95"/>
      <c r="G46" s="95"/>
      <c r="J46" s="98" t="s">
        <v>191</v>
      </c>
      <c r="K46" s="99" t="str" cm="1">
        <f t="array" ref="K46">_xlfn.LET(
  _xlpm.dataRange, E45:G69,
  _xlpm.rowCounts, _xlfn.BYROW(_xlpm.dataRange, _xlfn.LAMBDA(_xlpm.row, COUNTA(_xlpm.row))),
  _xlpm.valid, AND(_xlpm.rowCounts=1),
  IF(COUNTA(_xlpm.dataRange)=0, "", IF(_xlpm.valid, "Complete", "Incomplete"))
)</f>
        <v/>
      </c>
    </row>
    <row r="47" spans="2:17" ht="30" x14ac:dyDescent="0.2">
      <c r="C47" s="62" t="s">
        <v>3</v>
      </c>
      <c r="D47" s="64" t="s">
        <v>18</v>
      </c>
      <c r="E47" s="95"/>
      <c r="F47" s="95"/>
      <c r="G47" s="95"/>
      <c r="J47" s="98" t="s">
        <v>160</v>
      </c>
      <c r="K47" s="99" t="str" cm="1">
        <f t="array" ref="K47">_xlfn.LET(
  _xlpm.dataRange, E76:G100,
  _xlpm.rowCounts, _xlfn.BYROW(_xlpm.dataRange, _xlfn.LAMBDA(_xlpm.row, COUNTA(_xlpm.row))),
  _xlpm.valid, AND(_xlpm.rowCounts=1),
  IF(COUNTA(_xlpm.dataRange)=0, "", IF(_xlpm.valid, "Complete", "Incomplete"))
)</f>
        <v/>
      </c>
      <c r="N47" s="187"/>
      <c r="O47" s="187"/>
      <c r="P47" s="187"/>
      <c r="Q47" s="73"/>
    </row>
    <row r="48" spans="2:17" ht="31" thickBot="1" x14ac:dyDescent="0.25">
      <c r="C48" s="62" t="s">
        <v>13</v>
      </c>
      <c r="D48" s="64" t="s">
        <v>22</v>
      </c>
      <c r="E48" s="95"/>
      <c r="F48" s="95"/>
      <c r="G48" s="95"/>
      <c r="J48" s="100" t="s">
        <v>161</v>
      </c>
      <c r="K48" s="101" t="str" cm="1">
        <f t="array" ref="K48">_xlfn.LET(
  _xlpm.dataRange, E106:G130,
  _xlpm.rowCounts, _xlfn.BYROW(_xlpm.dataRange, _xlfn.LAMBDA(_xlpm.row, COUNTA(_xlpm.row))),
  _xlpm.valid, AND(_xlpm.rowCounts=1),
  IF(COUNTA(_xlpm.dataRange)=0, "", IF(_xlpm.valid, "Complete", "Incomplete"))
)</f>
        <v/>
      </c>
    </row>
    <row r="49" spans="3:7" x14ac:dyDescent="0.2">
      <c r="C49" s="62" t="s">
        <v>4</v>
      </c>
      <c r="D49" s="64" t="s">
        <v>26</v>
      </c>
      <c r="E49" s="95"/>
      <c r="F49" s="95"/>
      <c r="G49" s="95"/>
    </row>
    <row r="50" spans="3:7" x14ac:dyDescent="0.2">
      <c r="C50" s="62" t="s">
        <v>5</v>
      </c>
      <c r="D50" s="64" t="s">
        <v>31</v>
      </c>
      <c r="E50" s="95"/>
      <c r="F50" s="95"/>
      <c r="G50" s="95"/>
    </row>
    <row r="51" spans="3:7" x14ac:dyDescent="0.2">
      <c r="C51" s="62" t="s">
        <v>4</v>
      </c>
      <c r="D51" s="70" t="s">
        <v>34</v>
      </c>
      <c r="E51" s="95"/>
      <c r="F51" s="95"/>
      <c r="G51" s="95"/>
    </row>
    <row r="52" spans="3:7" x14ac:dyDescent="0.2">
      <c r="C52" s="62" t="s">
        <v>3</v>
      </c>
      <c r="D52" s="64" t="s">
        <v>39</v>
      </c>
      <c r="E52" s="95"/>
      <c r="F52" s="95"/>
      <c r="G52" s="95"/>
    </row>
    <row r="53" spans="3:7" x14ac:dyDescent="0.2">
      <c r="C53" s="62" t="s">
        <v>13</v>
      </c>
      <c r="D53" s="64" t="s">
        <v>45</v>
      </c>
      <c r="E53" s="95"/>
      <c r="F53" s="95"/>
      <c r="G53" s="95"/>
    </row>
    <row r="54" spans="3:7" x14ac:dyDescent="0.2">
      <c r="C54" s="62" t="s">
        <v>15</v>
      </c>
      <c r="D54" s="64" t="s">
        <v>50</v>
      </c>
      <c r="E54" s="95"/>
      <c r="F54" s="95"/>
      <c r="G54" s="95"/>
    </row>
    <row r="55" spans="3:7" x14ac:dyDescent="0.2">
      <c r="C55" s="62" t="s">
        <v>5</v>
      </c>
      <c r="D55" s="70" t="s">
        <v>55</v>
      </c>
      <c r="E55" s="95"/>
      <c r="F55" s="95"/>
      <c r="G55" s="95"/>
    </row>
    <row r="56" spans="3:7" x14ac:dyDescent="0.2">
      <c r="C56" s="62" t="s">
        <v>4</v>
      </c>
      <c r="D56" s="64" t="s">
        <v>57</v>
      </c>
      <c r="E56" s="95"/>
      <c r="F56" s="95"/>
      <c r="G56" s="95"/>
    </row>
    <row r="57" spans="3:7" x14ac:dyDescent="0.2">
      <c r="C57" s="62" t="s">
        <v>3</v>
      </c>
      <c r="D57" s="64" t="s">
        <v>58</v>
      </c>
      <c r="E57" s="95"/>
      <c r="F57" s="95"/>
      <c r="G57" s="95"/>
    </row>
    <row r="58" spans="3:7" x14ac:dyDescent="0.2">
      <c r="C58" s="62" t="s">
        <v>5</v>
      </c>
      <c r="D58" s="70" t="s">
        <v>61</v>
      </c>
      <c r="E58" s="95"/>
      <c r="F58" s="95"/>
      <c r="G58" s="95"/>
    </row>
    <row r="59" spans="3:7" x14ac:dyDescent="0.2">
      <c r="C59" s="62" t="s">
        <v>15</v>
      </c>
      <c r="D59" s="64" t="s">
        <v>62</v>
      </c>
      <c r="E59" s="95"/>
      <c r="F59" s="95"/>
      <c r="G59" s="95"/>
    </row>
    <row r="60" spans="3:7" ht="30" x14ac:dyDescent="0.2">
      <c r="C60" s="62" t="s">
        <v>3</v>
      </c>
      <c r="D60" s="64" t="s">
        <v>63</v>
      </c>
      <c r="E60" s="95"/>
      <c r="F60" s="95"/>
      <c r="G60" s="95"/>
    </row>
    <row r="61" spans="3:7" x14ac:dyDescent="0.2">
      <c r="C61" s="62" t="s">
        <v>13</v>
      </c>
      <c r="D61" s="64" t="s">
        <v>64</v>
      </c>
      <c r="E61" s="95"/>
      <c r="F61" s="95"/>
      <c r="G61" s="95"/>
    </row>
    <row r="62" spans="3:7" x14ac:dyDescent="0.2">
      <c r="C62" s="62" t="s">
        <v>4</v>
      </c>
      <c r="D62" s="64" t="s">
        <v>65</v>
      </c>
      <c r="E62" s="95"/>
      <c r="F62" s="95"/>
      <c r="G62" s="95"/>
    </row>
    <row r="63" spans="3:7" x14ac:dyDescent="0.2">
      <c r="C63" s="62" t="s">
        <v>5</v>
      </c>
      <c r="D63" s="64" t="s">
        <v>66</v>
      </c>
      <c r="E63" s="95"/>
      <c r="F63" s="95"/>
      <c r="G63" s="95"/>
    </row>
    <row r="64" spans="3:7" ht="30" x14ac:dyDescent="0.2">
      <c r="C64" s="62" t="s">
        <v>13</v>
      </c>
      <c r="D64" s="64" t="s">
        <v>67</v>
      </c>
      <c r="E64" s="95"/>
      <c r="F64" s="95"/>
      <c r="G64" s="95"/>
    </row>
    <row r="65" spans="3:17" x14ac:dyDescent="0.2">
      <c r="C65" s="62" t="s">
        <v>15</v>
      </c>
      <c r="D65" s="70" t="s">
        <v>68</v>
      </c>
      <c r="E65" s="95"/>
      <c r="F65" s="95"/>
      <c r="G65" s="95"/>
    </row>
    <row r="66" spans="3:17" x14ac:dyDescent="0.2">
      <c r="C66" s="62" t="s">
        <v>4</v>
      </c>
      <c r="D66" s="64" t="s">
        <v>69</v>
      </c>
      <c r="E66" s="95"/>
      <c r="F66" s="95"/>
      <c r="G66" s="95"/>
    </row>
    <row r="67" spans="3:17" x14ac:dyDescent="0.2">
      <c r="C67" s="62" t="s">
        <v>5</v>
      </c>
      <c r="D67" s="64" t="s">
        <v>70</v>
      </c>
      <c r="E67" s="95"/>
      <c r="F67" s="95"/>
      <c r="G67" s="95"/>
    </row>
    <row r="68" spans="3:17" x14ac:dyDescent="0.2">
      <c r="C68" s="62" t="s">
        <v>3</v>
      </c>
      <c r="D68" s="64" t="s">
        <v>71</v>
      </c>
      <c r="E68" s="95"/>
      <c r="F68" s="95"/>
      <c r="G68" s="95"/>
    </row>
    <row r="69" spans="3:17" x14ac:dyDescent="0.2">
      <c r="C69" s="62" t="s">
        <v>15</v>
      </c>
      <c r="D69" s="70" t="s">
        <v>72</v>
      </c>
      <c r="E69" s="95"/>
      <c r="F69" s="95"/>
      <c r="G69" s="95"/>
    </row>
    <row r="72" spans="3:17" x14ac:dyDescent="0.2">
      <c r="C72" s="24" t="s">
        <v>73</v>
      </c>
    </row>
    <row r="74" spans="3:17" x14ac:dyDescent="0.2">
      <c r="C74" s="61" t="s">
        <v>2</v>
      </c>
      <c r="D74" s="61" t="s">
        <v>7</v>
      </c>
      <c r="E74" s="61" t="s">
        <v>8</v>
      </c>
      <c r="F74" s="61" t="s">
        <v>9</v>
      </c>
      <c r="G74" s="61" t="b">
        <v>1</v>
      </c>
    </row>
    <row r="75" spans="3:17" x14ac:dyDescent="0.2">
      <c r="C75" s="62"/>
      <c r="D75" s="63" t="s">
        <v>10</v>
      </c>
      <c r="E75" s="33" t="s">
        <v>11</v>
      </c>
      <c r="F75" s="33">
        <v>1</v>
      </c>
      <c r="G75" s="33" t="s">
        <v>12</v>
      </c>
    </row>
    <row r="76" spans="3:17" x14ac:dyDescent="0.2">
      <c r="C76" s="62" t="s">
        <v>13</v>
      </c>
      <c r="D76" s="64" t="s">
        <v>14</v>
      </c>
      <c r="E76" s="95"/>
      <c r="F76" s="95"/>
      <c r="G76" s="95"/>
    </row>
    <row r="77" spans="3:17" x14ac:dyDescent="0.2">
      <c r="C77" s="62" t="s">
        <v>15</v>
      </c>
      <c r="D77" s="64" t="s">
        <v>16</v>
      </c>
      <c r="E77" s="95"/>
      <c r="F77" s="95"/>
      <c r="G77" s="95"/>
      <c r="J77" s="24"/>
    </row>
    <row r="78" spans="3:17" ht="30" x14ac:dyDescent="0.2">
      <c r="C78" s="62" t="s">
        <v>3</v>
      </c>
      <c r="D78" s="64" t="s">
        <v>18</v>
      </c>
      <c r="E78" s="95"/>
      <c r="F78" s="95"/>
      <c r="G78" s="95"/>
      <c r="N78" s="187"/>
      <c r="O78" s="187"/>
      <c r="P78" s="187"/>
      <c r="Q78" s="73"/>
    </row>
    <row r="79" spans="3:17" ht="30" x14ac:dyDescent="0.2">
      <c r="C79" s="62" t="s">
        <v>13</v>
      </c>
      <c r="D79" s="64" t="s">
        <v>22</v>
      </c>
      <c r="E79" s="95"/>
      <c r="F79" s="95"/>
      <c r="G79" s="95"/>
    </row>
    <row r="80" spans="3:17" x14ac:dyDescent="0.2">
      <c r="C80" s="62" t="s">
        <v>4</v>
      </c>
      <c r="D80" s="64" t="s">
        <v>26</v>
      </c>
      <c r="E80" s="95"/>
      <c r="F80" s="95"/>
      <c r="G80" s="95"/>
    </row>
    <row r="81" spans="3:7" x14ac:dyDescent="0.2">
      <c r="C81" s="62" t="s">
        <v>5</v>
      </c>
      <c r="D81" s="64" t="s">
        <v>31</v>
      </c>
      <c r="E81" s="95"/>
      <c r="F81" s="95"/>
      <c r="G81" s="95"/>
    </row>
    <row r="82" spans="3:7" x14ac:dyDescent="0.2">
      <c r="C82" s="62" t="s">
        <v>4</v>
      </c>
      <c r="D82" s="70" t="s">
        <v>34</v>
      </c>
      <c r="E82" s="95"/>
      <c r="F82" s="95"/>
      <c r="G82" s="95"/>
    </row>
    <row r="83" spans="3:7" x14ac:dyDescent="0.2">
      <c r="C83" s="62" t="s">
        <v>3</v>
      </c>
      <c r="D83" s="64" t="s">
        <v>39</v>
      </c>
      <c r="E83" s="95"/>
      <c r="F83" s="95"/>
      <c r="G83" s="95"/>
    </row>
    <row r="84" spans="3:7" x14ac:dyDescent="0.2">
      <c r="C84" s="62" t="s">
        <v>13</v>
      </c>
      <c r="D84" s="64" t="s">
        <v>45</v>
      </c>
      <c r="E84" s="95"/>
      <c r="F84" s="95"/>
      <c r="G84" s="95"/>
    </row>
    <row r="85" spans="3:7" x14ac:dyDescent="0.2">
      <c r="C85" s="62" t="s">
        <v>15</v>
      </c>
      <c r="D85" s="64" t="s">
        <v>50</v>
      </c>
      <c r="E85" s="95"/>
      <c r="F85" s="95"/>
      <c r="G85" s="95"/>
    </row>
    <row r="86" spans="3:7" x14ac:dyDescent="0.2">
      <c r="C86" s="62" t="s">
        <v>5</v>
      </c>
      <c r="D86" s="70" t="s">
        <v>55</v>
      </c>
      <c r="E86" s="95"/>
      <c r="F86" s="95"/>
      <c r="G86" s="95"/>
    </row>
    <row r="87" spans="3:7" x14ac:dyDescent="0.2">
      <c r="C87" s="62" t="s">
        <v>4</v>
      </c>
      <c r="D87" s="64" t="s">
        <v>57</v>
      </c>
      <c r="E87" s="95"/>
      <c r="F87" s="95"/>
      <c r="G87" s="95"/>
    </row>
    <row r="88" spans="3:7" x14ac:dyDescent="0.2">
      <c r="C88" s="62" t="s">
        <v>3</v>
      </c>
      <c r="D88" s="64" t="s">
        <v>58</v>
      </c>
      <c r="E88" s="95"/>
      <c r="F88" s="95"/>
      <c r="G88" s="95"/>
    </row>
    <row r="89" spans="3:7" x14ac:dyDescent="0.2">
      <c r="C89" s="62" t="s">
        <v>5</v>
      </c>
      <c r="D89" s="70" t="s">
        <v>61</v>
      </c>
      <c r="E89" s="95"/>
      <c r="F89" s="95"/>
      <c r="G89" s="95"/>
    </row>
    <row r="90" spans="3:7" x14ac:dyDescent="0.2">
      <c r="C90" s="62" t="s">
        <v>15</v>
      </c>
      <c r="D90" s="64" t="s">
        <v>62</v>
      </c>
      <c r="E90" s="95"/>
      <c r="F90" s="95"/>
      <c r="G90" s="95"/>
    </row>
    <row r="91" spans="3:7" ht="30" x14ac:dyDescent="0.2">
      <c r="C91" s="62" t="s">
        <v>3</v>
      </c>
      <c r="D91" s="64" t="s">
        <v>63</v>
      </c>
      <c r="E91" s="95"/>
      <c r="F91" s="95"/>
      <c r="G91" s="95"/>
    </row>
    <row r="92" spans="3:7" x14ac:dyDescent="0.2">
      <c r="C92" s="62" t="s">
        <v>13</v>
      </c>
      <c r="D92" s="64" t="s">
        <v>64</v>
      </c>
      <c r="E92" s="95"/>
      <c r="F92" s="95"/>
      <c r="G92" s="95"/>
    </row>
    <row r="93" spans="3:7" x14ac:dyDescent="0.2">
      <c r="C93" s="62" t="s">
        <v>4</v>
      </c>
      <c r="D93" s="64" t="s">
        <v>65</v>
      </c>
      <c r="E93" s="95"/>
      <c r="F93" s="95"/>
      <c r="G93" s="95"/>
    </row>
    <row r="94" spans="3:7" x14ac:dyDescent="0.2">
      <c r="C94" s="62" t="s">
        <v>5</v>
      </c>
      <c r="D94" s="64" t="s">
        <v>66</v>
      </c>
      <c r="E94" s="95"/>
      <c r="F94" s="95"/>
      <c r="G94" s="95"/>
    </row>
    <row r="95" spans="3:7" ht="30" x14ac:dyDescent="0.2">
      <c r="C95" s="62" t="s">
        <v>13</v>
      </c>
      <c r="D95" s="64" t="s">
        <v>67</v>
      </c>
      <c r="E95" s="95"/>
      <c r="F95" s="95"/>
      <c r="G95" s="95"/>
    </row>
    <row r="96" spans="3:7" x14ac:dyDescent="0.2">
      <c r="C96" s="62" t="s">
        <v>15</v>
      </c>
      <c r="D96" s="70" t="s">
        <v>68</v>
      </c>
      <c r="E96" s="95"/>
      <c r="F96" s="95"/>
      <c r="G96" s="95"/>
    </row>
    <row r="97" spans="3:7" x14ac:dyDescent="0.2">
      <c r="C97" s="62" t="s">
        <v>4</v>
      </c>
      <c r="D97" s="64" t="s">
        <v>69</v>
      </c>
      <c r="E97" s="95"/>
      <c r="F97" s="95"/>
      <c r="G97" s="95"/>
    </row>
    <row r="98" spans="3:7" x14ac:dyDescent="0.2">
      <c r="C98" s="62" t="s">
        <v>5</v>
      </c>
      <c r="D98" s="64" t="s">
        <v>70</v>
      </c>
      <c r="E98" s="95"/>
      <c r="F98" s="95"/>
      <c r="G98" s="95"/>
    </row>
    <row r="99" spans="3:7" x14ac:dyDescent="0.2">
      <c r="C99" s="62" t="s">
        <v>3</v>
      </c>
      <c r="D99" s="64" t="s">
        <v>71</v>
      </c>
      <c r="E99" s="95"/>
      <c r="F99" s="95"/>
      <c r="G99" s="95"/>
    </row>
    <row r="100" spans="3:7" x14ac:dyDescent="0.2">
      <c r="C100" s="62" t="s">
        <v>15</v>
      </c>
      <c r="D100" s="70" t="s">
        <v>72</v>
      </c>
      <c r="E100" s="95"/>
      <c r="F100" s="95"/>
      <c r="G100" s="95"/>
    </row>
    <row r="102" spans="3:7" x14ac:dyDescent="0.2">
      <c r="C102" s="24" t="s">
        <v>74</v>
      </c>
    </row>
    <row r="104" spans="3:7" x14ac:dyDescent="0.2">
      <c r="C104" s="61" t="s">
        <v>2</v>
      </c>
      <c r="D104" s="61" t="s">
        <v>7</v>
      </c>
      <c r="E104" s="61" t="s">
        <v>8</v>
      </c>
      <c r="F104" s="61" t="s">
        <v>9</v>
      </c>
      <c r="G104" s="61" t="b">
        <v>1</v>
      </c>
    </row>
    <row r="105" spans="3:7" x14ac:dyDescent="0.2">
      <c r="C105" s="62"/>
      <c r="D105" s="63" t="s">
        <v>10</v>
      </c>
      <c r="E105" s="33" t="s">
        <v>11</v>
      </c>
      <c r="F105" s="33">
        <v>1</v>
      </c>
      <c r="G105" s="33" t="s">
        <v>12</v>
      </c>
    </row>
    <row r="106" spans="3:7" x14ac:dyDescent="0.2">
      <c r="C106" s="62" t="s">
        <v>13</v>
      </c>
      <c r="D106" s="64" t="s">
        <v>14</v>
      </c>
      <c r="E106" s="95"/>
      <c r="F106" s="95"/>
      <c r="G106" s="95"/>
    </row>
    <row r="107" spans="3:7" x14ac:dyDescent="0.2">
      <c r="C107" s="62" t="s">
        <v>15</v>
      </c>
      <c r="D107" s="64" t="s">
        <v>16</v>
      </c>
      <c r="E107" s="95"/>
      <c r="F107" s="95"/>
      <c r="G107" s="95"/>
    </row>
    <row r="108" spans="3:7" ht="30" x14ac:dyDescent="0.2">
      <c r="C108" s="62" t="s">
        <v>3</v>
      </c>
      <c r="D108" s="64" t="s">
        <v>18</v>
      </c>
      <c r="E108" s="95"/>
      <c r="F108" s="95"/>
      <c r="G108" s="95"/>
    </row>
    <row r="109" spans="3:7" ht="30" x14ac:dyDescent="0.2">
      <c r="C109" s="62" t="s">
        <v>13</v>
      </c>
      <c r="D109" s="64" t="s">
        <v>22</v>
      </c>
      <c r="E109" s="95"/>
      <c r="F109" s="95"/>
      <c r="G109" s="95"/>
    </row>
    <row r="110" spans="3:7" x14ac:dyDescent="0.2">
      <c r="C110" s="62" t="s">
        <v>4</v>
      </c>
      <c r="D110" s="64" t="s">
        <v>26</v>
      </c>
      <c r="E110" s="95"/>
      <c r="F110" s="95"/>
      <c r="G110" s="95"/>
    </row>
    <row r="111" spans="3:7" x14ac:dyDescent="0.2">
      <c r="C111" s="62" t="s">
        <v>5</v>
      </c>
      <c r="D111" s="64" t="s">
        <v>31</v>
      </c>
      <c r="E111" s="95"/>
      <c r="F111" s="95"/>
      <c r="G111" s="95"/>
    </row>
    <row r="112" spans="3:7" x14ac:dyDescent="0.2">
      <c r="C112" s="62" t="s">
        <v>4</v>
      </c>
      <c r="D112" s="70" t="s">
        <v>34</v>
      </c>
      <c r="E112" s="95"/>
      <c r="F112" s="95"/>
      <c r="G112" s="95"/>
    </row>
    <row r="113" spans="3:7" x14ac:dyDescent="0.2">
      <c r="C113" s="62" t="s">
        <v>3</v>
      </c>
      <c r="D113" s="64" t="s">
        <v>39</v>
      </c>
      <c r="E113" s="95"/>
      <c r="F113" s="95"/>
      <c r="G113" s="95"/>
    </row>
    <row r="114" spans="3:7" x14ac:dyDescent="0.2">
      <c r="C114" s="62" t="s">
        <v>13</v>
      </c>
      <c r="D114" s="64" t="s">
        <v>45</v>
      </c>
      <c r="E114" s="95"/>
      <c r="F114" s="95"/>
      <c r="G114" s="95"/>
    </row>
    <row r="115" spans="3:7" x14ac:dyDescent="0.2">
      <c r="C115" s="62" t="s">
        <v>15</v>
      </c>
      <c r="D115" s="64" t="s">
        <v>50</v>
      </c>
      <c r="E115" s="95"/>
      <c r="F115" s="95"/>
      <c r="G115" s="95"/>
    </row>
    <row r="116" spans="3:7" x14ac:dyDescent="0.2">
      <c r="C116" s="62" t="s">
        <v>5</v>
      </c>
      <c r="D116" s="70" t="s">
        <v>55</v>
      </c>
      <c r="E116" s="95"/>
      <c r="F116" s="95"/>
      <c r="G116" s="95"/>
    </row>
    <row r="117" spans="3:7" x14ac:dyDescent="0.2">
      <c r="C117" s="62" t="s">
        <v>4</v>
      </c>
      <c r="D117" s="64" t="s">
        <v>57</v>
      </c>
      <c r="E117" s="95"/>
      <c r="F117" s="95"/>
      <c r="G117" s="95"/>
    </row>
    <row r="118" spans="3:7" x14ac:dyDescent="0.2">
      <c r="C118" s="62" t="s">
        <v>3</v>
      </c>
      <c r="D118" s="64" t="s">
        <v>58</v>
      </c>
      <c r="E118" s="95"/>
      <c r="F118" s="95"/>
      <c r="G118" s="95"/>
    </row>
    <row r="119" spans="3:7" x14ac:dyDescent="0.2">
      <c r="C119" s="62" t="s">
        <v>5</v>
      </c>
      <c r="D119" s="70" t="s">
        <v>61</v>
      </c>
      <c r="E119" s="95"/>
      <c r="F119" s="95"/>
      <c r="G119" s="95"/>
    </row>
    <row r="120" spans="3:7" x14ac:dyDescent="0.2">
      <c r="C120" s="62" t="s">
        <v>15</v>
      </c>
      <c r="D120" s="64" t="s">
        <v>62</v>
      </c>
      <c r="E120" s="95"/>
      <c r="F120" s="95"/>
      <c r="G120" s="95"/>
    </row>
    <row r="121" spans="3:7" ht="30" x14ac:dyDescent="0.2">
      <c r="C121" s="62" t="s">
        <v>3</v>
      </c>
      <c r="D121" s="64" t="s">
        <v>63</v>
      </c>
      <c r="E121" s="95"/>
      <c r="F121" s="95"/>
      <c r="G121" s="95"/>
    </row>
    <row r="122" spans="3:7" x14ac:dyDescent="0.2">
      <c r="C122" s="62" t="s">
        <v>13</v>
      </c>
      <c r="D122" s="64" t="s">
        <v>64</v>
      </c>
      <c r="E122" s="95"/>
      <c r="F122" s="95"/>
      <c r="G122" s="95"/>
    </row>
    <row r="123" spans="3:7" x14ac:dyDescent="0.2">
      <c r="C123" s="62" t="s">
        <v>4</v>
      </c>
      <c r="D123" s="64" t="s">
        <v>65</v>
      </c>
      <c r="E123" s="95"/>
      <c r="F123" s="95"/>
      <c r="G123" s="95"/>
    </row>
    <row r="124" spans="3:7" x14ac:dyDescent="0.2">
      <c r="C124" s="62" t="s">
        <v>5</v>
      </c>
      <c r="D124" s="64" t="s">
        <v>66</v>
      </c>
      <c r="E124" s="95"/>
      <c r="F124" s="95"/>
      <c r="G124" s="95"/>
    </row>
    <row r="125" spans="3:7" ht="30" x14ac:dyDescent="0.2">
      <c r="C125" s="62" t="s">
        <v>13</v>
      </c>
      <c r="D125" s="64" t="s">
        <v>67</v>
      </c>
      <c r="E125" s="95"/>
      <c r="F125" s="95"/>
      <c r="G125" s="95"/>
    </row>
    <row r="126" spans="3:7" x14ac:dyDescent="0.2">
      <c r="C126" s="62" t="s">
        <v>15</v>
      </c>
      <c r="D126" s="70" t="s">
        <v>68</v>
      </c>
      <c r="E126" s="95"/>
      <c r="F126" s="95"/>
      <c r="G126" s="95"/>
    </row>
    <row r="127" spans="3:7" x14ac:dyDescent="0.2">
      <c r="C127" s="62" t="s">
        <v>4</v>
      </c>
      <c r="D127" s="64" t="s">
        <v>69</v>
      </c>
      <c r="E127" s="95"/>
      <c r="F127" s="95"/>
      <c r="G127" s="95"/>
    </row>
    <row r="128" spans="3:7" x14ac:dyDescent="0.2">
      <c r="C128" s="62" t="s">
        <v>5</v>
      </c>
      <c r="D128" s="64" t="s">
        <v>70</v>
      </c>
      <c r="E128" s="95"/>
      <c r="F128" s="95"/>
      <c r="G128" s="95"/>
    </row>
    <row r="129" spans="3:7" x14ac:dyDescent="0.2">
      <c r="C129" s="62" t="s">
        <v>3</v>
      </c>
      <c r="D129" s="64" t="s">
        <v>71</v>
      </c>
      <c r="E129" s="95"/>
      <c r="F129" s="95"/>
      <c r="G129" s="95"/>
    </row>
    <row r="130" spans="3:7" x14ac:dyDescent="0.2">
      <c r="C130" s="62" t="s">
        <v>15</v>
      </c>
      <c r="D130" s="70" t="s">
        <v>72</v>
      </c>
      <c r="E130" s="95"/>
      <c r="F130" s="95"/>
      <c r="G130" s="95"/>
    </row>
  </sheetData>
  <sheetProtection algorithmName="SHA-512" hashValue="anYyhmDLUj/n14m3yG7Y6iaJFKXmV2CuGlamzerw4X9MJq4Klju6LHGQda7ujqQetERUkvK3twKQO5PpukI0LQ==" saltValue="HYv4PwIipe3Xb3WQKLwZ9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ACBEC2B8-E22E-4C2A-B7F9-1A83AB582181}">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D053E-C51D-4448-A592-85D3D3A0E5D4}">
  <sheetPr>
    <pageSetUpPr fitToPage="1"/>
  </sheetPr>
  <dimension ref="B2:R130"/>
  <sheetViews>
    <sheetView showGridLines="0" topLeftCell="D13" workbookViewId="0">
      <selection activeCell="K15" sqref="K15:K24"/>
    </sheetView>
  </sheetViews>
  <sheetFormatPr baseColWidth="10" defaultColWidth="9.1640625" defaultRowHeight="15" x14ac:dyDescent="0.2"/>
  <cols>
    <col min="1" max="1" width="9.1640625" style="18"/>
    <col min="2" max="2" width="7.33203125" style="18" customWidth="1"/>
    <col min="3" max="3" width="27.83203125" style="18" bestFit="1" customWidth="1"/>
    <col min="4" max="4" width="45.6640625" style="18" customWidth="1"/>
    <col min="5" max="5" width="13.33203125" style="18" customWidth="1"/>
    <col min="6" max="6" width="13" style="18" customWidth="1"/>
    <col min="7" max="7" width="13.5" style="18" customWidth="1"/>
    <col min="8" max="9" width="9.1640625" style="18"/>
    <col min="10" max="11" width="21.6640625" style="18" customWidth="1"/>
    <col min="12" max="12" width="17.1640625" style="18" customWidth="1"/>
    <col min="13" max="13" width="16.1640625" style="18" customWidth="1"/>
    <col min="14" max="14" width="14.5" style="18" customWidth="1"/>
    <col min="15" max="15" width="13.1640625" style="18" customWidth="1"/>
    <col min="16" max="17" width="13.5" style="18" customWidth="1"/>
    <col min="18" max="16384" width="9.1640625" style="18"/>
  </cols>
  <sheetData>
    <row r="2" spans="2:18" x14ac:dyDescent="0.2">
      <c r="C2" s="24" t="s">
        <v>126</v>
      </c>
      <c r="D2" s="18" t="s">
        <v>163</v>
      </c>
    </row>
    <row r="3" spans="2:18" x14ac:dyDescent="0.2">
      <c r="C3" s="24"/>
      <c r="D3" s="18" t="s">
        <v>164</v>
      </c>
    </row>
    <row r="4" spans="2:18" x14ac:dyDescent="0.2">
      <c r="C4" s="24"/>
      <c r="D4" s="18" t="s">
        <v>165</v>
      </c>
    </row>
    <row r="5" spans="2:18" ht="16" thickBot="1" x14ac:dyDescent="0.25"/>
    <row r="6" spans="2:18" ht="16" thickBot="1" x14ac:dyDescent="0.25">
      <c r="C6" s="24" t="s">
        <v>104</v>
      </c>
      <c r="D6" s="27"/>
    </row>
    <row r="7" spans="2:18" ht="16" thickBot="1" x14ac:dyDescent="0.25"/>
    <row r="8" spans="2:18" ht="16" thickBot="1" x14ac:dyDescent="0.25">
      <c r="B8" s="139" t="s">
        <v>200</v>
      </c>
      <c r="C8" s="139"/>
      <c r="D8" s="89"/>
      <c r="E8" s="18" t="s">
        <v>199</v>
      </c>
    </row>
    <row r="10" spans="2:18" x14ac:dyDescent="0.2">
      <c r="C10" s="61" t="s">
        <v>6</v>
      </c>
      <c r="D10" s="61" t="s">
        <v>7</v>
      </c>
      <c r="E10" s="61" t="s">
        <v>8</v>
      </c>
      <c r="F10" s="61" t="s">
        <v>9</v>
      </c>
      <c r="G10" s="61" t="b">
        <v>1</v>
      </c>
    </row>
    <row r="11" spans="2:18" x14ac:dyDescent="0.2">
      <c r="C11" s="62"/>
      <c r="D11" s="63" t="s">
        <v>10</v>
      </c>
      <c r="E11" s="33" t="s">
        <v>11</v>
      </c>
      <c r="F11" s="33">
        <v>1</v>
      </c>
      <c r="G11" s="33" t="s">
        <v>12</v>
      </c>
      <c r="J11" s="18" t="s">
        <v>184</v>
      </c>
    </row>
    <row r="12" spans="2:18" x14ac:dyDescent="0.2">
      <c r="C12" s="62" t="s">
        <v>13</v>
      </c>
      <c r="D12" s="64" t="s">
        <v>14</v>
      </c>
      <c r="E12" s="95"/>
      <c r="F12" s="95"/>
      <c r="G12" s="95"/>
    </row>
    <row r="13" spans="2:18" x14ac:dyDescent="0.2">
      <c r="C13" s="62" t="s">
        <v>15</v>
      </c>
      <c r="D13" s="64" t="s">
        <v>16</v>
      </c>
      <c r="E13" s="95"/>
      <c r="F13" s="95"/>
      <c r="G13" s="95"/>
      <c r="J13" s="24" t="s">
        <v>17</v>
      </c>
    </row>
    <row r="14" spans="2:18" ht="30" x14ac:dyDescent="0.2">
      <c r="C14" s="62" t="s">
        <v>3</v>
      </c>
      <c r="D14" s="64" t="s">
        <v>18</v>
      </c>
      <c r="E14" s="95"/>
      <c r="F14" s="95"/>
      <c r="G14" s="95"/>
      <c r="J14" s="61" t="s">
        <v>2</v>
      </c>
      <c r="K14" s="61" t="s">
        <v>203</v>
      </c>
      <c r="L14" s="61" t="s">
        <v>204</v>
      </c>
      <c r="M14" s="61" t="s">
        <v>19</v>
      </c>
      <c r="N14" s="61" t="s">
        <v>20</v>
      </c>
      <c r="O14" s="184" t="s">
        <v>21</v>
      </c>
      <c r="P14" s="185"/>
      <c r="Q14" s="185"/>
      <c r="R14" s="186"/>
    </row>
    <row r="15" spans="2:18" ht="30" x14ac:dyDescent="0.2">
      <c r="C15" s="62" t="s">
        <v>13</v>
      </c>
      <c r="D15" s="64" t="s">
        <v>22</v>
      </c>
      <c r="E15" s="95"/>
      <c r="F15" s="95"/>
      <c r="G15" s="95"/>
      <c r="J15" s="61" t="s">
        <v>3</v>
      </c>
      <c r="K15" s="120">
        <f>SUM(E14,F14,G14,E19,F19,G19,E27,F27,G27,E24,F24,G24,E35,F35,G35)</f>
        <v>0</v>
      </c>
      <c r="L15" s="120">
        <f>SUM(E47,F47,G47,E52,F52,G52,E60,F60,G60,E57,F57,G57,E68,F68,G68)</f>
        <v>0</v>
      </c>
      <c r="M15" s="121">
        <f>SUM(E78,F78,G78,E83,F83,G83,E91,F91,G91,E88,F88,G88,E99,F99,G99)</f>
        <v>0</v>
      </c>
      <c r="N15" s="121">
        <f>SUM(E108,F108,G108,E113,F113,G113,E118,F118,G118,E121,F121,G121,E129,F129,G129)</f>
        <v>0</v>
      </c>
      <c r="O15" s="74" t="s">
        <v>23</v>
      </c>
      <c r="P15" s="75">
        <v>4</v>
      </c>
      <c r="Q15" s="76" t="s">
        <v>24</v>
      </c>
      <c r="R15" s="77" t="s">
        <v>25</v>
      </c>
    </row>
    <row r="16" spans="2:18" x14ac:dyDescent="0.2">
      <c r="C16" s="62" t="s">
        <v>4</v>
      </c>
      <c r="D16" s="64" t="s">
        <v>26</v>
      </c>
      <c r="E16" s="95"/>
      <c r="F16" s="95"/>
      <c r="G16" s="95"/>
      <c r="J16" s="61" t="s">
        <v>5</v>
      </c>
      <c r="K16" s="120">
        <f>SUM(E17,F17,G17,E22,F22,G22,E25,F25,G25,E30,F30,G30,E34,F34,G34)</f>
        <v>0</v>
      </c>
      <c r="L16" s="120">
        <f>SUM(E50,F50,G50,E55,F55,G55,E58,F58,G58,E63,F63,G63,E67,F67,G67)</f>
        <v>0</v>
      </c>
      <c r="M16" s="121">
        <f>SUM(E81,F81,G81,E86,F86,G86,E89,F89,G89,E94,F94,G94,E98,F98,G98)</f>
        <v>0</v>
      </c>
      <c r="N16" s="121">
        <f>SUM(E111,F111,G111,E116,F116,G116,E119,F119,G119,E124,F124,G124,E128,F128,G128)</f>
        <v>0</v>
      </c>
      <c r="O16" s="74" t="s">
        <v>27</v>
      </c>
      <c r="P16" s="75" t="s">
        <v>28</v>
      </c>
      <c r="Q16" s="76" t="s">
        <v>29</v>
      </c>
      <c r="R16" s="77" t="s">
        <v>30</v>
      </c>
    </row>
    <row r="17" spans="3:18" x14ac:dyDescent="0.2">
      <c r="C17" s="62" t="s">
        <v>5</v>
      </c>
      <c r="D17" s="64" t="s">
        <v>31</v>
      </c>
      <c r="E17" s="95"/>
      <c r="F17" s="95"/>
      <c r="G17" s="95"/>
      <c r="J17" s="61" t="s">
        <v>4</v>
      </c>
      <c r="K17" s="120">
        <f>SUM(E16,F16,G16,E18,F18,G18,E23,F23,G23,E29,F29,G29,E33,F33,G33)</f>
        <v>0</v>
      </c>
      <c r="L17" s="120">
        <f>SUM(E49,F49,G49,E51,F51,G51,E62,F62,G62,E56,F56,G56,E66,F66,G66)</f>
        <v>0</v>
      </c>
      <c r="M17" s="120">
        <f>SUM(E80,F80,G80,E82,F82,G82,E87,F87,G87,E93,F93,G93,E97,F97,G97)</f>
        <v>0</v>
      </c>
      <c r="N17" s="121">
        <f>SUM(E110,F110,G110,E112,F112,G112,E117,F117,G117,E123,F123,G123,E127,F127,G127)</f>
        <v>0</v>
      </c>
      <c r="O17" s="74" t="s">
        <v>27</v>
      </c>
      <c r="P17" s="75" t="s">
        <v>28</v>
      </c>
      <c r="Q17" s="76" t="s">
        <v>32</v>
      </c>
      <c r="R17" s="77" t="s">
        <v>33</v>
      </c>
    </row>
    <row r="18" spans="3:18" x14ac:dyDescent="0.2">
      <c r="C18" s="62" t="s">
        <v>4</v>
      </c>
      <c r="D18" s="70" t="s">
        <v>34</v>
      </c>
      <c r="E18" s="95"/>
      <c r="F18" s="95"/>
      <c r="G18" s="95"/>
      <c r="J18" s="61" t="s">
        <v>15</v>
      </c>
      <c r="K18" s="120">
        <f>SUM(E13,F13,G13,E21,F21,G21,E26,F26,G26,E32,F32,G32,E36,F36,G36)</f>
        <v>0</v>
      </c>
      <c r="L18" s="120">
        <f>SUM(E46,F46,G46,E54,F54,G54,E65,F65,G65,E59,F59,G59,E69,F69,G69)</f>
        <v>0</v>
      </c>
      <c r="M18" s="120">
        <f>SUM(E77,F77,G77,E85,F85,G85,E90,F90,G90,E96,F96,G96,E100,F100,G100)</f>
        <v>0</v>
      </c>
      <c r="N18" s="121">
        <f>SUM(E107,F107,G107,E115,F115,G115,E120,F120,G120,E126,F126,G126,E130,F130,G130)</f>
        <v>0</v>
      </c>
      <c r="O18" s="74" t="s">
        <v>35</v>
      </c>
      <c r="P18" s="75" t="s">
        <v>36</v>
      </c>
      <c r="Q18" s="76" t="s">
        <v>37</v>
      </c>
      <c r="R18" s="77" t="s">
        <v>38</v>
      </c>
    </row>
    <row r="19" spans="3:18" x14ac:dyDescent="0.2">
      <c r="C19" s="62" t="s">
        <v>3</v>
      </c>
      <c r="D19" s="64" t="s">
        <v>39</v>
      </c>
      <c r="E19" s="95"/>
      <c r="F19" s="95"/>
      <c r="G19" s="95"/>
      <c r="J19" s="61" t="s">
        <v>40</v>
      </c>
      <c r="K19" s="120">
        <f>SUM(K15:K18)</f>
        <v>0</v>
      </c>
      <c r="L19" s="120">
        <f>SUM(L15:L18)</f>
        <v>0</v>
      </c>
      <c r="M19" s="120">
        <f>SUM(M15:M18)</f>
        <v>0</v>
      </c>
      <c r="N19" s="121">
        <f>SUM(N15:N18)</f>
        <v>0</v>
      </c>
      <c r="O19" s="74" t="s">
        <v>41</v>
      </c>
      <c r="P19" s="75" t="s">
        <v>42</v>
      </c>
      <c r="Q19" s="76" t="s">
        <v>43</v>
      </c>
      <c r="R19" s="77" t="s">
        <v>44</v>
      </c>
    </row>
    <row r="20" spans="3:18" x14ac:dyDescent="0.2">
      <c r="C20" s="62" t="s">
        <v>13</v>
      </c>
      <c r="D20" s="64" t="s">
        <v>45</v>
      </c>
      <c r="E20" s="95"/>
      <c r="F20" s="95"/>
      <c r="G20" s="95"/>
      <c r="J20" s="61" t="s">
        <v>46</v>
      </c>
      <c r="K20" s="120">
        <f>SUM(K15+K16)</f>
        <v>0</v>
      </c>
      <c r="L20" s="120">
        <f>SUM(L15+L16)</f>
        <v>0</v>
      </c>
      <c r="M20" s="120">
        <f>SUM(M15+M16)</f>
        <v>0</v>
      </c>
      <c r="N20" s="120">
        <f>SUM(N15+N16)</f>
        <v>0</v>
      </c>
      <c r="O20" s="74" t="s">
        <v>23</v>
      </c>
      <c r="P20" s="75" t="s">
        <v>47</v>
      </c>
      <c r="Q20" s="76" t="s">
        <v>48</v>
      </c>
      <c r="R20" s="77" t="s">
        <v>49</v>
      </c>
    </row>
    <row r="21" spans="3:18" x14ac:dyDescent="0.2">
      <c r="C21" s="62" t="s">
        <v>15</v>
      </c>
      <c r="D21" s="64" t="s">
        <v>50</v>
      </c>
      <c r="E21" s="95"/>
      <c r="F21" s="95"/>
      <c r="G21" s="95"/>
      <c r="J21" s="61" t="s">
        <v>51</v>
      </c>
      <c r="K21" s="120">
        <f>SUM(K17+K18)</f>
        <v>0</v>
      </c>
      <c r="L21" s="120">
        <f>SUM(L17+L18)</f>
        <v>0</v>
      </c>
      <c r="M21" s="120">
        <f>SUM(M17+M18)</f>
        <v>0</v>
      </c>
      <c r="N21" s="120">
        <f>SUM(N17+N18)</f>
        <v>0</v>
      </c>
      <c r="O21" s="74" t="s">
        <v>52</v>
      </c>
      <c r="P21" s="75" t="s">
        <v>48</v>
      </c>
      <c r="Q21" s="76" t="s">
        <v>53</v>
      </c>
      <c r="R21" s="77" t="s">
        <v>54</v>
      </c>
    </row>
    <row r="22" spans="3:18" x14ac:dyDescent="0.2">
      <c r="C22" s="62" t="s">
        <v>5</v>
      </c>
      <c r="D22" s="70" t="s">
        <v>55</v>
      </c>
      <c r="E22" s="95"/>
      <c r="F22" s="95"/>
      <c r="G22" s="95"/>
      <c r="J22" s="37" t="s">
        <v>56</v>
      </c>
      <c r="K22" s="37"/>
      <c r="L22" s="37"/>
      <c r="M22" s="71"/>
      <c r="N22" s="71"/>
      <c r="O22" s="74" t="s">
        <v>23</v>
      </c>
      <c r="P22" s="75" t="s">
        <v>29</v>
      </c>
      <c r="Q22" s="76" t="s">
        <v>24</v>
      </c>
      <c r="R22" s="77" t="s">
        <v>25</v>
      </c>
    </row>
    <row r="23" spans="3:18" x14ac:dyDescent="0.2">
      <c r="C23" s="62" t="s">
        <v>4</v>
      </c>
      <c r="D23" s="64" t="s">
        <v>57</v>
      </c>
      <c r="E23" s="95"/>
      <c r="F23" s="95"/>
      <c r="G23" s="95"/>
      <c r="J23" s="61"/>
      <c r="K23" s="62"/>
      <c r="L23" s="62"/>
      <c r="M23" s="62"/>
      <c r="N23" s="62"/>
      <c r="O23" s="72"/>
      <c r="P23" s="72"/>
      <c r="Q23" s="72"/>
      <c r="R23" s="72"/>
    </row>
    <row r="24" spans="3:18" x14ac:dyDescent="0.2">
      <c r="C24" s="62" t="s">
        <v>3</v>
      </c>
      <c r="D24" s="64" t="s">
        <v>58</v>
      </c>
      <c r="E24" s="95"/>
      <c r="F24" s="95"/>
      <c r="G24" s="95"/>
      <c r="J24" s="61" t="s">
        <v>13</v>
      </c>
      <c r="K24" s="120">
        <f>SUM(E12,F12,G12,E15,F15,G15,E20,F20,G20,E28,F28,G28,E31,F31,G31)</f>
        <v>0</v>
      </c>
      <c r="L24" s="120">
        <f>SUM(E45,F45,G45,E48,F48,G48,E53,F53,G53,E61,F61,G61,E64,F64,G64)</f>
        <v>0</v>
      </c>
      <c r="M24" s="121">
        <f>SUM(E76,F76,G76,E79,F79,G79,E84,F84,G84,E92,F92,G92,E95,F95,G95)</f>
        <v>0</v>
      </c>
      <c r="N24" s="121">
        <f>SUM(E106,F106,G106,E109,F109,G109,E114,F114,G114,E122,F122,G122,E125,F125,G125)</f>
        <v>0</v>
      </c>
      <c r="O24" s="74" t="s">
        <v>48</v>
      </c>
      <c r="P24" s="75" t="s">
        <v>59</v>
      </c>
      <c r="Q24" s="76" t="s">
        <v>60</v>
      </c>
      <c r="R24" s="77" t="s">
        <v>35</v>
      </c>
    </row>
    <row r="25" spans="3:18" x14ac:dyDescent="0.2">
      <c r="C25" s="62" t="s">
        <v>5</v>
      </c>
      <c r="D25" s="70" t="s">
        <v>61</v>
      </c>
      <c r="E25" s="95"/>
      <c r="F25" s="95"/>
      <c r="G25" s="95"/>
    </row>
    <row r="26" spans="3:18" x14ac:dyDescent="0.2">
      <c r="C26" s="62" t="s">
        <v>15</v>
      </c>
      <c r="D26" s="64" t="s">
        <v>62</v>
      </c>
      <c r="E26" s="95"/>
      <c r="F26" s="95"/>
      <c r="G26" s="95"/>
    </row>
    <row r="27" spans="3:18" ht="30" x14ac:dyDescent="0.2">
      <c r="C27" s="62" t="s">
        <v>3</v>
      </c>
      <c r="D27" s="64" t="s">
        <v>63</v>
      </c>
      <c r="E27" s="95"/>
      <c r="F27" s="95"/>
      <c r="G27" s="95"/>
    </row>
    <row r="28" spans="3:18" x14ac:dyDescent="0.2">
      <c r="C28" s="62" t="s">
        <v>13</v>
      </c>
      <c r="D28" s="64" t="s">
        <v>64</v>
      </c>
      <c r="E28" s="95"/>
      <c r="F28" s="95"/>
      <c r="G28" s="95"/>
    </row>
    <row r="29" spans="3:18" x14ac:dyDescent="0.2">
      <c r="C29" s="62" t="s">
        <v>4</v>
      </c>
      <c r="D29" s="64" t="s">
        <v>65</v>
      </c>
      <c r="E29" s="95"/>
      <c r="F29" s="95"/>
      <c r="G29" s="95"/>
    </row>
    <row r="30" spans="3:18" x14ac:dyDescent="0.2">
      <c r="C30" s="62" t="s">
        <v>5</v>
      </c>
      <c r="D30" s="64" t="s">
        <v>66</v>
      </c>
      <c r="E30" s="95"/>
      <c r="F30" s="95"/>
      <c r="G30" s="95"/>
    </row>
    <row r="31" spans="3:18" ht="30" x14ac:dyDescent="0.2">
      <c r="C31" s="62" t="s">
        <v>13</v>
      </c>
      <c r="D31" s="64" t="s">
        <v>67</v>
      </c>
      <c r="E31" s="95"/>
      <c r="F31" s="95"/>
      <c r="G31" s="95"/>
    </row>
    <row r="32" spans="3:18" x14ac:dyDescent="0.2">
      <c r="C32" s="62" t="s">
        <v>15</v>
      </c>
      <c r="D32" s="70" t="s">
        <v>68</v>
      </c>
      <c r="E32" s="95"/>
      <c r="F32" s="95"/>
      <c r="G32" s="95"/>
    </row>
    <row r="33" spans="2:17" x14ac:dyDescent="0.2">
      <c r="C33" s="62" t="s">
        <v>4</v>
      </c>
      <c r="D33" s="64" t="s">
        <v>69</v>
      </c>
      <c r="E33" s="95"/>
      <c r="F33" s="95"/>
      <c r="G33" s="95"/>
    </row>
    <row r="34" spans="2:17" x14ac:dyDescent="0.2">
      <c r="C34" s="62" t="s">
        <v>5</v>
      </c>
      <c r="D34" s="64" t="s">
        <v>70</v>
      </c>
      <c r="E34" s="95"/>
      <c r="F34" s="95"/>
      <c r="G34" s="95"/>
    </row>
    <row r="35" spans="2:17" x14ac:dyDescent="0.2">
      <c r="C35" s="62" t="s">
        <v>3</v>
      </c>
      <c r="D35" s="64" t="s">
        <v>71</v>
      </c>
      <c r="E35" s="95"/>
      <c r="F35" s="95"/>
      <c r="G35" s="95"/>
    </row>
    <row r="36" spans="2:17" x14ac:dyDescent="0.2">
      <c r="C36" s="62" t="s">
        <v>15</v>
      </c>
      <c r="D36" s="70" t="s">
        <v>72</v>
      </c>
      <c r="E36" s="95"/>
      <c r="F36" s="95"/>
      <c r="G36" s="95"/>
    </row>
    <row r="40" spans="2:17" ht="16" thickBot="1" x14ac:dyDescent="0.25"/>
    <row r="41" spans="2:17" ht="16" thickBot="1" x14ac:dyDescent="0.25">
      <c r="B41" s="139" t="s">
        <v>201</v>
      </c>
      <c r="C41" s="141"/>
      <c r="D41" s="89"/>
      <c r="E41" s="18" t="s">
        <v>199</v>
      </c>
      <c r="J41" s="24" t="s">
        <v>159</v>
      </c>
    </row>
    <row r="43" spans="2:17" x14ac:dyDescent="0.2">
      <c r="C43" s="61" t="s">
        <v>6</v>
      </c>
      <c r="D43" s="61" t="s">
        <v>7</v>
      </c>
      <c r="E43" s="61" t="s">
        <v>8</v>
      </c>
      <c r="F43" s="61" t="s">
        <v>9</v>
      </c>
      <c r="G43" s="61" t="b">
        <v>1</v>
      </c>
      <c r="J43" s="24" t="s">
        <v>162</v>
      </c>
    </row>
    <row r="44" spans="2:17" ht="16" thickBot="1" x14ac:dyDescent="0.25">
      <c r="C44" s="62"/>
      <c r="D44" s="63" t="s">
        <v>10</v>
      </c>
      <c r="E44" s="33" t="s">
        <v>11</v>
      </c>
      <c r="F44" s="33">
        <v>1</v>
      </c>
      <c r="G44" s="33" t="s">
        <v>12</v>
      </c>
      <c r="J44" s="18" t="s">
        <v>166</v>
      </c>
    </row>
    <row r="45" spans="2:17" x14ac:dyDescent="0.2">
      <c r="C45" s="62" t="s">
        <v>13</v>
      </c>
      <c r="D45" s="64" t="s">
        <v>14</v>
      </c>
      <c r="E45" s="95"/>
      <c r="F45" s="95"/>
      <c r="G45" s="95"/>
      <c r="J45" s="96" t="s">
        <v>202</v>
      </c>
      <c r="K45" s="97" t="str" cm="1">
        <f t="array" ref="K45">_xlfn.LET(
  _xlpm.dataRange, E12:G36,
  _xlpm.rowCounts, _xlfn.BYROW(_xlpm.dataRange, _xlfn.LAMBDA(_xlpm.row, COUNTA(_xlpm.row))),
  _xlpm.valid, AND(_xlpm.rowCounts=1),
  IF(COUNTA(_xlpm.dataRange)=0, "", IF(_xlpm.valid, "Complete", "Incomplete"))
)</f>
        <v/>
      </c>
    </row>
    <row r="46" spans="2:17" x14ac:dyDescent="0.2">
      <c r="C46" s="62" t="s">
        <v>15</v>
      </c>
      <c r="D46" s="64" t="s">
        <v>16</v>
      </c>
      <c r="E46" s="95"/>
      <c r="F46" s="95"/>
      <c r="G46" s="95"/>
      <c r="J46" s="98" t="s">
        <v>191</v>
      </c>
      <c r="K46" s="99" t="str" cm="1">
        <f t="array" ref="K46">_xlfn.LET(
  _xlpm.dataRange, E45:G69,
  _xlpm.rowCounts, _xlfn.BYROW(_xlpm.dataRange, _xlfn.LAMBDA(_xlpm.row, COUNTA(_xlpm.row))),
  _xlpm.valid, AND(_xlpm.rowCounts=1),
  IF(COUNTA(_xlpm.dataRange)=0, "", IF(_xlpm.valid, "Complete", "Incomplete"))
)</f>
        <v/>
      </c>
    </row>
    <row r="47" spans="2:17" ht="30" x14ac:dyDescent="0.2">
      <c r="C47" s="62" t="s">
        <v>3</v>
      </c>
      <c r="D47" s="64" t="s">
        <v>18</v>
      </c>
      <c r="E47" s="95"/>
      <c r="F47" s="95"/>
      <c r="G47" s="95"/>
      <c r="J47" s="98" t="s">
        <v>160</v>
      </c>
      <c r="K47" s="99" t="str" cm="1">
        <f t="array" ref="K47">_xlfn.LET(
  _xlpm.dataRange, E76:G100,
  _xlpm.rowCounts, _xlfn.BYROW(_xlpm.dataRange, _xlfn.LAMBDA(_xlpm.row, COUNTA(_xlpm.row))),
  _xlpm.valid, AND(_xlpm.rowCounts=1),
  IF(COUNTA(_xlpm.dataRange)=0, "", IF(_xlpm.valid, "Complete", "Incomplete"))
)</f>
        <v/>
      </c>
      <c r="N47" s="187"/>
      <c r="O47" s="187"/>
      <c r="P47" s="187"/>
      <c r="Q47" s="73"/>
    </row>
    <row r="48" spans="2:17" ht="31" thickBot="1" x14ac:dyDescent="0.25">
      <c r="C48" s="62" t="s">
        <v>13</v>
      </c>
      <c r="D48" s="64" t="s">
        <v>22</v>
      </c>
      <c r="E48" s="95"/>
      <c r="F48" s="95"/>
      <c r="G48" s="95"/>
      <c r="J48" s="100" t="s">
        <v>161</v>
      </c>
      <c r="K48" s="101" t="str" cm="1">
        <f t="array" ref="K48">_xlfn.LET(
  _xlpm.dataRange, E106:G130,
  _xlpm.rowCounts, _xlfn.BYROW(_xlpm.dataRange, _xlfn.LAMBDA(_xlpm.row, COUNTA(_xlpm.row))),
  _xlpm.valid, AND(_xlpm.rowCounts=1),
  IF(COUNTA(_xlpm.dataRange)=0, "", IF(_xlpm.valid, "Complete", "Incomplete"))
)</f>
        <v/>
      </c>
    </row>
    <row r="49" spans="3:7" x14ac:dyDescent="0.2">
      <c r="C49" s="62" t="s">
        <v>4</v>
      </c>
      <c r="D49" s="64" t="s">
        <v>26</v>
      </c>
      <c r="E49" s="95"/>
      <c r="F49" s="95"/>
      <c r="G49" s="95"/>
    </row>
    <row r="50" spans="3:7" x14ac:dyDescent="0.2">
      <c r="C50" s="62" t="s">
        <v>5</v>
      </c>
      <c r="D50" s="64" t="s">
        <v>31</v>
      </c>
      <c r="E50" s="95"/>
      <c r="F50" s="95"/>
      <c r="G50" s="95"/>
    </row>
    <row r="51" spans="3:7" x14ac:dyDescent="0.2">
      <c r="C51" s="62" t="s">
        <v>4</v>
      </c>
      <c r="D51" s="70" t="s">
        <v>34</v>
      </c>
      <c r="E51" s="95"/>
      <c r="F51" s="95"/>
      <c r="G51" s="95"/>
    </row>
    <row r="52" spans="3:7" x14ac:dyDescent="0.2">
      <c r="C52" s="62" t="s">
        <v>3</v>
      </c>
      <c r="D52" s="64" t="s">
        <v>39</v>
      </c>
      <c r="E52" s="95"/>
      <c r="F52" s="95"/>
      <c r="G52" s="95"/>
    </row>
    <row r="53" spans="3:7" x14ac:dyDescent="0.2">
      <c r="C53" s="62" t="s">
        <v>13</v>
      </c>
      <c r="D53" s="64" t="s">
        <v>45</v>
      </c>
      <c r="E53" s="95"/>
      <c r="F53" s="95"/>
      <c r="G53" s="95"/>
    </row>
    <row r="54" spans="3:7" x14ac:dyDescent="0.2">
      <c r="C54" s="62" t="s">
        <v>15</v>
      </c>
      <c r="D54" s="64" t="s">
        <v>50</v>
      </c>
      <c r="E54" s="95"/>
      <c r="F54" s="95"/>
      <c r="G54" s="95"/>
    </row>
    <row r="55" spans="3:7" x14ac:dyDescent="0.2">
      <c r="C55" s="62" t="s">
        <v>5</v>
      </c>
      <c r="D55" s="70" t="s">
        <v>55</v>
      </c>
      <c r="E55" s="95"/>
      <c r="F55" s="95"/>
      <c r="G55" s="95"/>
    </row>
    <row r="56" spans="3:7" x14ac:dyDescent="0.2">
      <c r="C56" s="62" t="s">
        <v>4</v>
      </c>
      <c r="D56" s="64" t="s">
        <v>57</v>
      </c>
      <c r="E56" s="95"/>
      <c r="F56" s="95"/>
      <c r="G56" s="95"/>
    </row>
    <row r="57" spans="3:7" x14ac:dyDescent="0.2">
      <c r="C57" s="62" t="s">
        <v>3</v>
      </c>
      <c r="D57" s="64" t="s">
        <v>58</v>
      </c>
      <c r="E57" s="95"/>
      <c r="F57" s="95"/>
      <c r="G57" s="95"/>
    </row>
    <row r="58" spans="3:7" x14ac:dyDescent="0.2">
      <c r="C58" s="62" t="s">
        <v>5</v>
      </c>
      <c r="D58" s="70" t="s">
        <v>61</v>
      </c>
      <c r="E58" s="95"/>
      <c r="F58" s="95"/>
      <c r="G58" s="95"/>
    </row>
    <row r="59" spans="3:7" x14ac:dyDescent="0.2">
      <c r="C59" s="62" t="s">
        <v>15</v>
      </c>
      <c r="D59" s="64" t="s">
        <v>62</v>
      </c>
      <c r="E59" s="95"/>
      <c r="F59" s="95"/>
      <c r="G59" s="95"/>
    </row>
    <row r="60" spans="3:7" ht="30" x14ac:dyDescent="0.2">
      <c r="C60" s="62" t="s">
        <v>3</v>
      </c>
      <c r="D60" s="64" t="s">
        <v>63</v>
      </c>
      <c r="E60" s="95"/>
      <c r="F60" s="95"/>
      <c r="G60" s="95"/>
    </row>
    <row r="61" spans="3:7" x14ac:dyDescent="0.2">
      <c r="C61" s="62" t="s">
        <v>13</v>
      </c>
      <c r="D61" s="64" t="s">
        <v>64</v>
      </c>
      <c r="E61" s="95"/>
      <c r="F61" s="95"/>
      <c r="G61" s="95"/>
    </row>
    <row r="62" spans="3:7" x14ac:dyDescent="0.2">
      <c r="C62" s="62" t="s">
        <v>4</v>
      </c>
      <c r="D62" s="64" t="s">
        <v>65</v>
      </c>
      <c r="E62" s="95"/>
      <c r="F62" s="95"/>
      <c r="G62" s="95"/>
    </row>
    <row r="63" spans="3:7" x14ac:dyDescent="0.2">
      <c r="C63" s="62" t="s">
        <v>5</v>
      </c>
      <c r="D63" s="64" t="s">
        <v>66</v>
      </c>
      <c r="E63" s="95"/>
      <c r="F63" s="95"/>
      <c r="G63" s="95"/>
    </row>
    <row r="64" spans="3:7" ht="30" x14ac:dyDescent="0.2">
      <c r="C64" s="62" t="s">
        <v>13</v>
      </c>
      <c r="D64" s="64" t="s">
        <v>67</v>
      </c>
      <c r="E64" s="95"/>
      <c r="F64" s="95"/>
      <c r="G64" s="95"/>
    </row>
    <row r="65" spans="3:17" x14ac:dyDescent="0.2">
      <c r="C65" s="62" t="s">
        <v>15</v>
      </c>
      <c r="D65" s="70" t="s">
        <v>68</v>
      </c>
      <c r="E65" s="95"/>
      <c r="F65" s="95"/>
      <c r="G65" s="95"/>
    </row>
    <row r="66" spans="3:17" x14ac:dyDescent="0.2">
      <c r="C66" s="62" t="s">
        <v>4</v>
      </c>
      <c r="D66" s="64" t="s">
        <v>69</v>
      </c>
      <c r="E66" s="95"/>
      <c r="F66" s="95"/>
      <c r="G66" s="95"/>
    </row>
    <row r="67" spans="3:17" x14ac:dyDescent="0.2">
      <c r="C67" s="62" t="s">
        <v>5</v>
      </c>
      <c r="D67" s="64" t="s">
        <v>70</v>
      </c>
      <c r="E67" s="95"/>
      <c r="F67" s="95"/>
      <c r="G67" s="95"/>
    </row>
    <row r="68" spans="3:17" x14ac:dyDescent="0.2">
      <c r="C68" s="62" t="s">
        <v>3</v>
      </c>
      <c r="D68" s="64" t="s">
        <v>71</v>
      </c>
      <c r="E68" s="95"/>
      <c r="F68" s="95"/>
      <c r="G68" s="95"/>
    </row>
    <row r="69" spans="3:17" x14ac:dyDescent="0.2">
      <c r="C69" s="62" t="s">
        <v>15</v>
      </c>
      <c r="D69" s="70" t="s">
        <v>72</v>
      </c>
      <c r="E69" s="95"/>
      <c r="F69" s="95"/>
      <c r="G69" s="95"/>
    </row>
    <row r="72" spans="3:17" x14ac:dyDescent="0.2">
      <c r="C72" s="24" t="s">
        <v>73</v>
      </c>
    </row>
    <row r="74" spans="3:17" x14ac:dyDescent="0.2">
      <c r="C74" s="61" t="s">
        <v>6</v>
      </c>
      <c r="D74" s="61" t="s">
        <v>7</v>
      </c>
      <c r="E74" s="61" t="s">
        <v>8</v>
      </c>
      <c r="F74" s="61" t="s">
        <v>9</v>
      </c>
      <c r="G74" s="61" t="b">
        <v>1</v>
      </c>
    </row>
    <row r="75" spans="3:17" x14ac:dyDescent="0.2">
      <c r="C75" s="62"/>
      <c r="D75" s="63" t="s">
        <v>10</v>
      </c>
      <c r="E75" s="33" t="s">
        <v>11</v>
      </c>
      <c r="F75" s="33">
        <v>1</v>
      </c>
      <c r="G75" s="33" t="s">
        <v>12</v>
      </c>
    </row>
    <row r="76" spans="3:17" x14ac:dyDescent="0.2">
      <c r="C76" s="62" t="s">
        <v>13</v>
      </c>
      <c r="D76" s="64" t="s">
        <v>14</v>
      </c>
      <c r="E76" s="95"/>
      <c r="F76" s="95"/>
      <c r="G76" s="95"/>
    </row>
    <row r="77" spans="3:17" x14ac:dyDescent="0.2">
      <c r="C77" s="62" t="s">
        <v>15</v>
      </c>
      <c r="D77" s="64" t="s">
        <v>16</v>
      </c>
      <c r="E77" s="95"/>
      <c r="F77" s="95"/>
      <c r="G77" s="95"/>
      <c r="J77" s="24"/>
    </row>
    <row r="78" spans="3:17" ht="30" x14ac:dyDescent="0.2">
      <c r="C78" s="62" t="s">
        <v>3</v>
      </c>
      <c r="D78" s="64" t="s">
        <v>18</v>
      </c>
      <c r="E78" s="95"/>
      <c r="F78" s="95"/>
      <c r="G78" s="95"/>
      <c r="N78" s="187"/>
      <c r="O78" s="187"/>
      <c r="P78" s="187"/>
      <c r="Q78" s="73"/>
    </row>
    <row r="79" spans="3:17" ht="30" x14ac:dyDescent="0.2">
      <c r="C79" s="62" t="s">
        <v>13</v>
      </c>
      <c r="D79" s="64" t="s">
        <v>22</v>
      </c>
      <c r="E79" s="95"/>
      <c r="F79" s="95"/>
      <c r="G79" s="95"/>
    </row>
    <row r="80" spans="3:17" x14ac:dyDescent="0.2">
      <c r="C80" s="62" t="s">
        <v>4</v>
      </c>
      <c r="D80" s="64" t="s">
        <v>26</v>
      </c>
      <c r="E80" s="95"/>
      <c r="F80" s="95"/>
      <c r="G80" s="95"/>
    </row>
    <row r="81" spans="3:7" x14ac:dyDescent="0.2">
      <c r="C81" s="62" t="s">
        <v>5</v>
      </c>
      <c r="D81" s="64" t="s">
        <v>31</v>
      </c>
      <c r="E81" s="95"/>
      <c r="F81" s="95"/>
      <c r="G81" s="95"/>
    </row>
    <row r="82" spans="3:7" x14ac:dyDescent="0.2">
      <c r="C82" s="62" t="s">
        <v>4</v>
      </c>
      <c r="D82" s="70" t="s">
        <v>34</v>
      </c>
      <c r="E82" s="95"/>
      <c r="F82" s="95"/>
      <c r="G82" s="95"/>
    </row>
    <row r="83" spans="3:7" x14ac:dyDescent="0.2">
      <c r="C83" s="62" t="s">
        <v>3</v>
      </c>
      <c r="D83" s="64" t="s">
        <v>39</v>
      </c>
      <c r="E83" s="95"/>
      <c r="F83" s="95"/>
      <c r="G83" s="95"/>
    </row>
    <row r="84" spans="3:7" x14ac:dyDescent="0.2">
      <c r="C84" s="62" t="s">
        <v>13</v>
      </c>
      <c r="D84" s="64" t="s">
        <v>45</v>
      </c>
      <c r="E84" s="95"/>
      <c r="F84" s="95"/>
      <c r="G84" s="95"/>
    </row>
    <row r="85" spans="3:7" x14ac:dyDescent="0.2">
      <c r="C85" s="62" t="s">
        <v>15</v>
      </c>
      <c r="D85" s="64" t="s">
        <v>50</v>
      </c>
      <c r="E85" s="95"/>
      <c r="F85" s="95"/>
      <c r="G85" s="95"/>
    </row>
    <row r="86" spans="3:7" x14ac:dyDescent="0.2">
      <c r="C86" s="62" t="s">
        <v>5</v>
      </c>
      <c r="D86" s="70" t="s">
        <v>55</v>
      </c>
      <c r="E86" s="95"/>
      <c r="F86" s="95"/>
      <c r="G86" s="95"/>
    </row>
    <row r="87" spans="3:7" x14ac:dyDescent="0.2">
      <c r="C87" s="62" t="s">
        <v>4</v>
      </c>
      <c r="D87" s="64" t="s">
        <v>57</v>
      </c>
      <c r="E87" s="95"/>
      <c r="F87" s="95"/>
      <c r="G87" s="95"/>
    </row>
    <row r="88" spans="3:7" x14ac:dyDescent="0.2">
      <c r="C88" s="62" t="s">
        <v>3</v>
      </c>
      <c r="D88" s="64" t="s">
        <v>58</v>
      </c>
      <c r="E88" s="95"/>
      <c r="F88" s="95"/>
      <c r="G88" s="95"/>
    </row>
    <row r="89" spans="3:7" x14ac:dyDescent="0.2">
      <c r="C89" s="62" t="s">
        <v>5</v>
      </c>
      <c r="D89" s="70" t="s">
        <v>61</v>
      </c>
      <c r="E89" s="95"/>
      <c r="F89" s="95"/>
      <c r="G89" s="95"/>
    </row>
    <row r="90" spans="3:7" x14ac:dyDescent="0.2">
      <c r="C90" s="62" t="s">
        <v>15</v>
      </c>
      <c r="D90" s="64" t="s">
        <v>62</v>
      </c>
      <c r="E90" s="95"/>
      <c r="F90" s="95"/>
      <c r="G90" s="95"/>
    </row>
    <row r="91" spans="3:7" ht="30" x14ac:dyDescent="0.2">
      <c r="C91" s="62" t="s">
        <v>3</v>
      </c>
      <c r="D91" s="64" t="s">
        <v>63</v>
      </c>
      <c r="E91" s="95"/>
      <c r="F91" s="95"/>
      <c r="G91" s="95"/>
    </row>
    <row r="92" spans="3:7" x14ac:dyDescent="0.2">
      <c r="C92" s="62" t="s">
        <v>13</v>
      </c>
      <c r="D92" s="64" t="s">
        <v>64</v>
      </c>
      <c r="E92" s="95"/>
      <c r="F92" s="95"/>
      <c r="G92" s="95"/>
    </row>
    <row r="93" spans="3:7" x14ac:dyDescent="0.2">
      <c r="C93" s="62" t="s">
        <v>4</v>
      </c>
      <c r="D93" s="64" t="s">
        <v>65</v>
      </c>
      <c r="E93" s="95"/>
      <c r="F93" s="95"/>
      <c r="G93" s="95"/>
    </row>
    <row r="94" spans="3:7" x14ac:dyDescent="0.2">
      <c r="C94" s="62" t="s">
        <v>5</v>
      </c>
      <c r="D94" s="64" t="s">
        <v>66</v>
      </c>
      <c r="E94" s="95"/>
      <c r="F94" s="95"/>
      <c r="G94" s="95"/>
    </row>
    <row r="95" spans="3:7" ht="30" x14ac:dyDescent="0.2">
      <c r="C95" s="62" t="s">
        <v>13</v>
      </c>
      <c r="D95" s="64" t="s">
        <v>67</v>
      </c>
      <c r="E95" s="95"/>
      <c r="F95" s="95"/>
      <c r="G95" s="95"/>
    </row>
    <row r="96" spans="3:7" x14ac:dyDescent="0.2">
      <c r="C96" s="62" t="s">
        <v>15</v>
      </c>
      <c r="D96" s="70" t="s">
        <v>68</v>
      </c>
      <c r="E96" s="95"/>
      <c r="F96" s="95"/>
      <c r="G96" s="95"/>
    </row>
    <row r="97" spans="3:7" x14ac:dyDescent="0.2">
      <c r="C97" s="62" t="s">
        <v>4</v>
      </c>
      <c r="D97" s="64" t="s">
        <v>69</v>
      </c>
      <c r="E97" s="95"/>
      <c r="F97" s="95"/>
      <c r="G97" s="95"/>
    </row>
    <row r="98" spans="3:7" x14ac:dyDescent="0.2">
      <c r="C98" s="62" t="s">
        <v>5</v>
      </c>
      <c r="D98" s="64" t="s">
        <v>70</v>
      </c>
      <c r="E98" s="95"/>
      <c r="F98" s="95"/>
      <c r="G98" s="95"/>
    </row>
    <row r="99" spans="3:7" x14ac:dyDescent="0.2">
      <c r="C99" s="62" t="s">
        <v>3</v>
      </c>
      <c r="D99" s="64" t="s">
        <v>71</v>
      </c>
      <c r="E99" s="95"/>
      <c r="F99" s="95"/>
      <c r="G99" s="95"/>
    </row>
    <row r="100" spans="3:7" x14ac:dyDescent="0.2">
      <c r="C100" s="62" t="s">
        <v>15</v>
      </c>
      <c r="D100" s="70" t="s">
        <v>72</v>
      </c>
      <c r="E100" s="95"/>
      <c r="F100" s="95"/>
      <c r="G100" s="95"/>
    </row>
    <row r="102" spans="3:7" x14ac:dyDescent="0.2">
      <c r="C102" s="24" t="s">
        <v>74</v>
      </c>
    </row>
    <row r="104" spans="3:7" x14ac:dyDescent="0.2">
      <c r="C104" s="61" t="s">
        <v>2</v>
      </c>
      <c r="D104" s="61" t="s">
        <v>7</v>
      </c>
      <c r="E104" s="61" t="s">
        <v>8</v>
      </c>
      <c r="F104" s="61" t="s">
        <v>9</v>
      </c>
      <c r="G104" s="61" t="b">
        <v>1</v>
      </c>
    </row>
    <row r="105" spans="3:7" x14ac:dyDescent="0.2">
      <c r="C105" s="62"/>
      <c r="D105" s="63" t="s">
        <v>10</v>
      </c>
      <c r="E105" s="33" t="s">
        <v>11</v>
      </c>
      <c r="F105" s="33">
        <v>1</v>
      </c>
      <c r="G105" s="33" t="s">
        <v>12</v>
      </c>
    </row>
    <row r="106" spans="3:7" x14ac:dyDescent="0.2">
      <c r="C106" s="62" t="s">
        <v>13</v>
      </c>
      <c r="D106" s="64" t="s">
        <v>14</v>
      </c>
      <c r="E106" s="95"/>
      <c r="F106" s="95"/>
      <c r="G106" s="95"/>
    </row>
    <row r="107" spans="3:7" x14ac:dyDescent="0.2">
      <c r="C107" s="62" t="s">
        <v>15</v>
      </c>
      <c r="D107" s="64" t="s">
        <v>16</v>
      </c>
      <c r="E107" s="95"/>
      <c r="F107" s="95"/>
      <c r="G107" s="95"/>
    </row>
    <row r="108" spans="3:7" ht="30" x14ac:dyDescent="0.2">
      <c r="C108" s="62" t="s">
        <v>3</v>
      </c>
      <c r="D108" s="64" t="s">
        <v>18</v>
      </c>
      <c r="E108" s="95"/>
      <c r="F108" s="95"/>
      <c r="G108" s="95"/>
    </row>
    <row r="109" spans="3:7" ht="30" x14ac:dyDescent="0.2">
      <c r="C109" s="62" t="s">
        <v>13</v>
      </c>
      <c r="D109" s="64" t="s">
        <v>22</v>
      </c>
      <c r="E109" s="95"/>
      <c r="F109" s="95"/>
      <c r="G109" s="95"/>
    </row>
    <row r="110" spans="3:7" x14ac:dyDescent="0.2">
      <c r="C110" s="62" t="s">
        <v>4</v>
      </c>
      <c r="D110" s="64" t="s">
        <v>26</v>
      </c>
      <c r="E110" s="95"/>
      <c r="F110" s="95"/>
      <c r="G110" s="95"/>
    </row>
    <row r="111" spans="3:7" x14ac:dyDescent="0.2">
      <c r="C111" s="62" t="s">
        <v>5</v>
      </c>
      <c r="D111" s="64" t="s">
        <v>31</v>
      </c>
      <c r="E111" s="95"/>
      <c r="F111" s="95"/>
      <c r="G111" s="95"/>
    </row>
    <row r="112" spans="3:7" x14ac:dyDescent="0.2">
      <c r="C112" s="62" t="s">
        <v>4</v>
      </c>
      <c r="D112" s="70" t="s">
        <v>34</v>
      </c>
      <c r="E112" s="95"/>
      <c r="F112" s="95"/>
      <c r="G112" s="95"/>
    </row>
    <row r="113" spans="3:7" x14ac:dyDescent="0.2">
      <c r="C113" s="62" t="s">
        <v>3</v>
      </c>
      <c r="D113" s="64" t="s">
        <v>39</v>
      </c>
      <c r="E113" s="95"/>
      <c r="F113" s="95"/>
      <c r="G113" s="95"/>
    </row>
    <row r="114" spans="3:7" x14ac:dyDescent="0.2">
      <c r="C114" s="62" t="s">
        <v>13</v>
      </c>
      <c r="D114" s="64" t="s">
        <v>45</v>
      </c>
      <c r="E114" s="95"/>
      <c r="F114" s="95"/>
      <c r="G114" s="95"/>
    </row>
    <row r="115" spans="3:7" x14ac:dyDescent="0.2">
      <c r="C115" s="62" t="s">
        <v>15</v>
      </c>
      <c r="D115" s="64" t="s">
        <v>50</v>
      </c>
      <c r="E115" s="95"/>
      <c r="F115" s="95"/>
      <c r="G115" s="95"/>
    </row>
    <row r="116" spans="3:7" x14ac:dyDescent="0.2">
      <c r="C116" s="62" t="s">
        <v>5</v>
      </c>
      <c r="D116" s="70" t="s">
        <v>55</v>
      </c>
      <c r="E116" s="95"/>
      <c r="F116" s="95"/>
      <c r="G116" s="95"/>
    </row>
    <row r="117" spans="3:7" x14ac:dyDescent="0.2">
      <c r="C117" s="62" t="s">
        <v>4</v>
      </c>
      <c r="D117" s="64" t="s">
        <v>57</v>
      </c>
      <c r="E117" s="95"/>
      <c r="F117" s="95"/>
      <c r="G117" s="95"/>
    </row>
    <row r="118" spans="3:7" x14ac:dyDescent="0.2">
      <c r="C118" s="62" t="s">
        <v>3</v>
      </c>
      <c r="D118" s="64" t="s">
        <v>58</v>
      </c>
      <c r="E118" s="95"/>
      <c r="F118" s="95"/>
      <c r="G118" s="95"/>
    </row>
    <row r="119" spans="3:7" x14ac:dyDescent="0.2">
      <c r="C119" s="62" t="s">
        <v>5</v>
      </c>
      <c r="D119" s="70" t="s">
        <v>61</v>
      </c>
      <c r="E119" s="95"/>
      <c r="F119" s="95"/>
      <c r="G119" s="95"/>
    </row>
    <row r="120" spans="3:7" x14ac:dyDescent="0.2">
      <c r="C120" s="62" t="s">
        <v>15</v>
      </c>
      <c r="D120" s="64" t="s">
        <v>62</v>
      </c>
      <c r="E120" s="95"/>
      <c r="F120" s="95"/>
      <c r="G120" s="95"/>
    </row>
    <row r="121" spans="3:7" ht="30" x14ac:dyDescent="0.2">
      <c r="C121" s="62" t="s">
        <v>3</v>
      </c>
      <c r="D121" s="64" t="s">
        <v>63</v>
      </c>
      <c r="E121" s="95"/>
      <c r="F121" s="95"/>
      <c r="G121" s="95"/>
    </row>
    <row r="122" spans="3:7" x14ac:dyDescent="0.2">
      <c r="C122" s="62" t="s">
        <v>13</v>
      </c>
      <c r="D122" s="64" t="s">
        <v>64</v>
      </c>
      <c r="E122" s="95"/>
      <c r="F122" s="95"/>
      <c r="G122" s="95"/>
    </row>
    <row r="123" spans="3:7" x14ac:dyDescent="0.2">
      <c r="C123" s="62" t="s">
        <v>4</v>
      </c>
      <c r="D123" s="64" t="s">
        <v>65</v>
      </c>
      <c r="E123" s="95"/>
      <c r="F123" s="95"/>
      <c r="G123" s="95"/>
    </row>
    <row r="124" spans="3:7" x14ac:dyDescent="0.2">
      <c r="C124" s="62" t="s">
        <v>5</v>
      </c>
      <c r="D124" s="64" t="s">
        <v>66</v>
      </c>
      <c r="E124" s="95"/>
      <c r="F124" s="95"/>
      <c r="G124" s="95"/>
    </row>
    <row r="125" spans="3:7" ht="30" x14ac:dyDescent="0.2">
      <c r="C125" s="62" t="s">
        <v>13</v>
      </c>
      <c r="D125" s="64" t="s">
        <v>67</v>
      </c>
      <c r="E125" s="95"/>
      <c r="F125" s="95"/>
      <c r="G125" s="95"/>
    </row>
    <row r="126" spans="3:7" x14ac:dyDescent="0.2">
      <c r="C126" s="62" t="s">
        <v>15</v>
      </c>
      <c r="D126" s="70" t="s">
        <v>68</v>
      </c>
      <c r="E126" s="95"/>
      <c r="F126" s="95"/>
      <c r="G126" s="95"/>
    </row>
    <row r="127" spans="3:7" x14ac:dyDescent="0.2">
      <c r="C127" s="62" t="s">
        <v>4</v>
      </c>
      <c r="D127" s="64" t="s">
        <v>69</v>
      </c>
      <c r="E127" s="95"/>
      <c r="F127" s="95"/>
      <c r="G127" s="95"/>
    </row>
    <row r="128" spans="3:7" x14ac:dyDescent="0.2">
      <c r="C128" s="62" t="s">
        <v>5</v>
      </c>
      <c r="D128" s="64" t="s">
        <v>70</v>
      </c>
      <c r="E128" s="95"/>
      <c r="F128" s="95"/>
      <c r="G128" s="95"/>
    </row>
    <row r="129" spans="3:7" x14ac:dyDescent="0.2">
      <c r="C129" s="62" t="s">
        <v>3</v>
      </c>
      <c r="D129" s="64" t="s">
        <v>71</v>
      </c>
      <c r="E129" s="95"/>
      <c r="F129" s="95"/>
      <c r="G129" s="95"/>
    </row>
    <row r="130" spans="3:7" x14ac:dyDescent="0.2">
      <c r="C130" s="62" t="s">
        <v>15</v>
      </c>
      <c r="D130" s="70" t="s">
        <v>72</v>
      </c>
      <c r="E130" s="95"/>
      <c r="F130" s="95"/>
      <c r="G130" s="95"/>
    </row>
  </sheetData>
  <sheetProtection algorithmName="SHA-512" hashValue="bl0VgEYsFd3FpG8EfPH/D3TrOyR/4o7XNUE7+nxo1qYVY5KAUituGKw9YQHe65ldYl9dbH1rLIfjgDNYnV0RwQ==" saltValue="dKaGG0kam64+1sW7qZV+c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89B9B93-C2C1-4F06-B199-8FA1793A7B46}">
      <formula1>45170</formula1>
      <formula2>49552</formula2>
    </dataValidation>
  </dataValidations>
  <pageMargins left="0.7" right="0.7" top="0.75" bottom="0.75" header="0.3" footer="0.3"/>
  <pageSetup scale="43" fitToHeight="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23E60-0AF7-4232-AF67-2CF644788852}">
  <sheetPr>
    <pageSetUpPr fitToPage="1"/>
  </sheetPr>
  <dimension ref="B2:R130"/>
  <sheetViews>
    <sheetView showGridLines="0" topLeftCell="F1" workbookViewId="0">
      <selection activeCell="K14" sqref="K14:N14"/>
    </sheetView>
  </sheetViews>
  <sheetFormatPr baseColWidth="10" defaultColWidth="9.1640625" defaultRowHeight="15" x14ac:dyDescent="0.2"/>
  <cols>
    <col min="1" max="1" width="9.1640625" style="18"/>
    <col min="2" max="2" width="7.33203125" style="18" customWidth="1"/>
    <col min="3" max="3" width="27.83203125" style="18" bestFit="1" customWidth="1"/>
    <col min="4" max="4" width="45.6640625" style="18" customWidth="1"/>
    <col min="5" max="5" width="13.33203125" style="18" customWidth="1"/>
    <col min="6" max="6" width="13" style="18" customWidth="1"/>
    <col min="7" max="7" width="13.5" style="18" customWidth="1"/>
    <col min="8" max="9" width="9.1640625" style="18"/>
    <col min="10" max="11" width="21.6640625" style="18" customWidth="1"/>
    <col min="12" max="12" width="17.1640625" style="18" customWidth="1"/>
    <col min="13" max="13" width="16.1640625" style="18" customWidth="1"/>
    <col min="14" max="14" width="14.5" style="18" customWidth="1"/>
    <col min="15" max="15" width="13.1640625" style="18" customWidth="1"/>
    <col min="16" max="17" width="13.5" style="18" customWidth="1"/>
    <col min="18" max="16384" width="9.1640625" style="18"/>
  </cols>
  <sheetData>
    <row r="2" spans="2:18" x14ac:dyDescent="0.2">
      <c r="C2" s="24" t="s">
        <v>126</v>
      </c>
      <c r="D2" s="18" t="s">
        <v>163</v>
      </c>
    </row>
    <row r="3" spans="2:18" x14ac:dyDescent="0.2">
      <c r="C3" s="24"/>
      <c r="D3" s="18" t="s">
        <v>164</v>
      </c>
    </row>
    <row r="4" spans="2:18" x14ac:dyDescent="0.2">
      <c r="C4" s="24"/>
      <c r="D4" s="18" t="s">
        <v>165</v>
      </c>
    </row>
    <row r="5" spans="2:18" ht="16" thickBot="1" x14ac:dyDescent="0.25"/>
    <row r="6" spans="2:18" ht="16" thickBot="1" x14ac:dyDescent="0.25">
      <c r="C6" s="24" t="s">
        <v>104</v>
      </c>
      <c r="D6" s="27"/>
    </row>
    <row r="7" spans="2:18" ht="16" thickBot="1" x14ac:dyDescent="0.25"/>
    <row r="8" spans="2:18" ht="16" thickBot="1" x14ac:dyDescent="0.25">
      <c r="B8" s="139" t="s">
        <v>200</v>
      </c>
      <c r="C8" s="139"/>
      <c r="D8" s="89"/>
      <c r="E8" s="18" t="s">
        <v>199</v>
      </c>
    </row>
    <row r="10" spans="2:18" x14ac:dyDescent="0.2">
      <c r="C10" s="61" t="s">
        <v>2</v>
      </c>
      <c r="D10" s="61" t="s">
        <v>7</v>
      </c>
      <c r="E10" s="61" t="s">
        <v>8</v>
      </c>
      <c r="F10" s="61" t="s">
        <v>9</v>
      </c>
      <c r="G10" s="61" t="b">
        <v>1</v>
      </c>
    </row>
    <row r="11" spans="2:18" x14ac:dyDescent="0.2">
      <c r="C11" s="62"/>
      <c r="D11" s="63" t="s">
        <v>10</v>
      </c>
      <c r="E11" s="33" t="s">
        <v>11</v>
      </c>
      <c r="F11" s="33">
        <v>1</v>
      </c>
      <c r="G11" s="33" t="s">
        <v>12</v>
      </c>
      <c r="J11" s="18" t="s">
        <v>184</v>
      </c>
    </row>
    <row r="12" spans="2:18" x14ac:dyDescent="0.2">
      <c r="C12" s="62" t="s">
        <v>13</v>
      </c>
      <c r="D12" s="64" t="s">
        <v>14</v>
      </c>
      <c r="E12" s="94"/>
      <c r="F12" s="95"/>
      <c r="G12" s="95"/>
    </row>
    <row r="13" spans="2:18" x14ac:dyDescent="0.2">
      <c r="C13" s="62" t="s">
        <v>15</v>
      </c>
      <c r="D13" s="64" t="s">
        <v>16</v>
      </c>
      <c r="E13" s="95"/>
      <c r="F13" s="95"/>
      <c r="G13" s="95"/>
      <c r="J13" s="24" t="s">
        <v>17</v>
      </c>
    </row>
    <row r="14" spans="2:18" ht="30" x14ac:dyDescent="0.2">
      <c r="C14" s="62" t="s">
        <v>3</v>
      </c>
      <c r="D14" s="64" t="s">
        <v>18</v>
      </c>
      <c r="E14" s="95"/>
      <c r="F14" s="95"/>
      <c r="G14" s="95"/>
      <c r="J14" s="61" t="s">
        <v>2</v>
      </c>
      <c r="K14" s="61" t="s">
        <v>203</v>
      </c>
      <c r="L14" s="61" t="s">
        <v>204</v>
      </c>
      <c r="M14" s="61" t="s">
        <v>19</v>
      </c>
      <c r="N14" s="61" t="s">
        <v>20</v>
      </c>
      <c r="O14" s="184" t="s">
        <v>21</v>
      </c>
      <c r="P14" s="185"/>
      <c r="Q14" s="185"/>
      <c r="R14" s="186"/>
    </row>
    <row r="15" spans="2:18" ht="30" x14ac:dyDescent="0.2">
      <c r="C15" s="62" t="s">
        <v>13</v>
      </c>
      <c r="D15" s="64" t="s">
        <v>22</v>
      </c>
      <c r="E15" s="95"/>
      <c r="F15" s="95"/>
      <c r="G15" s="95"/>
      <c r="J15" s="61" t="s">
        <v>3</v>
      </c>
      <c r="K15" s="120">
        <f>SUM(E14,F14,G14,E19,F19,G19,E27,F27,G27,E24,F24,G24,E35,F35,G35)</f>
        <v>0</v>
      </c>
      <c r="L15" s="120">
        <f>SUM(E47,F47,G47,E52,F52,G52,E60,F60,G60,E57,F57,G57,E68,F68,G68)</f>
        <v>0</v>
      </c>
      <c r="M15" s="121">
        <f>SUM(E78,F78,G78,E83,F83,G83,E91,F91,G91,E88,F88,G88,E99,F99,G99)</f>
        <v>0</v>
      </c>
      <c r="N15" s="121">
        <f>SUM(E108,F108,G108,E113,F113,G113,E118,F118,G118,E121,F121,G121,E129,F129,G129)</f>
        <v>0</v>
      </c>
      <c r="O15" s="74" t="s">
        <v>23</v>
      </c>
      <c r="P15" s="75">
        <v>4</v>
      </c>
      <c r="Q15" s="76" t="s">
        <v>24</v>
      </c>
      <c r="R15" s="77" t="s">
        <v>25</v>
      </c>
    </row>
    <row r="16" spans="2:18" x14ac:dyDescent="0.2">
      <c r="C16" s="62" t="s">
        <v>4</v>
      </c>
      <c r="D16" s="64" t="s">
        <v>26</v>
      </c>
      <c r="E16" s="95"/>
      <c r="F16" s="95"/>
      <c r="G16" s="95"/>
      <c r="J16" s="61" t="s">
        <v>5</v>
      </c>
      <c r="K16" s="120">
        <f>SUM(E17,F17,G17,E22,F22,G22,E25,F25,G25,E30,F30,G30,E34,F34,G34)</f>
        <v>0</v>
      </c>
      <c r="L16" s="120">
        <f>SUM(E50,F50,G50,E55,F55,G55,E58,F58,G58,E63,F63,G63,E67,F67,G67)</f>
        <v>0</v>
      </c>
      <c r="M16" s="121">
        <f>SUM(E81,F81,G81,E86,F86,G86,E89,F89,G89,E94,F94,G94,E98,F98,G98)</f>
        <v>0</v>
      </c>
      <c r="N16" s="121">
        <f>SUM(E111,F111,G111,E116,F116,G116,E119,F119,G119,E124,F124,G124,E128,F128,G128)</f>
        <v>0</v>
      </c>
      <c r="O16" s="74" t="s">
        <v>27</v>
      </c>
      <c r="P16" s="75" t="s">
        <v>28</v>
      </c>
      <c r="Q16" s="76" t="s">
        <v>29</v>
      </c>
      <c r="R16" s="77" t="s">
        <v>30</v>
      </c>
    </row>
    <row r="17" spans="3:18" x14ac:dyDescent="0.2">
      <c r="C17" s="62" t="s">
        <v>5</v>
      </c>
      <c r="D17" s="64" t="s">
        <v>31</v>
      </c>
      <c r="E17" s="95"/>
      <c r="F17" s="95"/>
      <c r="G17" s="95"/>
      <c r="J17" s="61" t="s">
        <v>4</v>
      </c>
      <c r="K17" s="120">
        <f>SUM(E16,F16,G16,E18,F18,G18,E23,F23,G23,E29,F29,G29,E33,F33,G33)</f>
        <v>0</v>
      </c>
      <c r="L17" s="120">
        <f>SUM(E49,F49,G49,E51,F51,G51,E62,F62,G62,E56,F56,G56,E66,F66,G66)</f>
        <v>0</v>
      </c>
      <c r="M17" s="120">
        <f>SUM(E80,F80,G80,E82,F82,G82,E87,F87,G87,E93,F93,G93,E97,F97,G97)</f>
        <v>0</v>
      </c>
      <c r="N17" s="121">
        <f>SUM(E110,F110,G110,E112,F112,G112,E117,F117,G117,E123,F123,G123,E127,F127,G127)</f>
        <v>0</v>
      </c>
      <c r="O17" s="74" t="s">
        <v>27</v>
      </c>
      <c r="P17" s="75" t="s">
        <v>28</v>
      </c>
      <c r="Q17" s="76" t="s">
        <v>32</v>
      </c>
      <c r="R17" s="77" t="s">
        <v>33</v>
      </c>
    </row>
    <row r="18" spans="3:18" x14ac:dyDescent="0.2">
      <c r="C18" s="62" t="s">
        <v>4</v>
      </c>
      <c r="D18" s="70" t="s">
        <v>34</v>
      </c>
      <c r="E18" s="95"/>
      <c r="F18" s="95"/>
      <c r="G18" s="95"/>
      <c r="J18" s="61" t="s">
        <v>15</v>
      </c>
      <c r="K18" s="120">
        <f>SUM(E13,F13,G13,E21,F21,G21,E26,F26,G26,E32,F32,G32,E36,F36,G36)</f>
        <v>0</v>
      </c>
      <c r="L18" s="120">
        <f>SUM(E46,F46,G46,E54,F54,G54,E65,F65,G65,E59,F59,G59,E69,F69,G69)</f>
        <v>0</v>
      </c>
      <c r="M18" s="120">
        <f>SUM(E77,F77,G77,E85,F85,G85,E90,F90,G90,E96,F96,G96,E100,F100,G100)</f>
        <v>0</v>
      </c>
      <c r="N18" s="121">
        <f>SUM(E107,F107,G107,E115,F115,G115,E120,F120,G120,E126,F126,G126,E130,F130,G130)</f>
        <v>0</v>
      </c>
      <c r="O18" s="74" t="s">
        <v>35</v>
      </c>
      <c r="P18" s="75" t="s">
        <v>36</v>
      </c>
      <c r="Q18" s="76" t="s">
        <v>37</v>
      </c>
      <c r="R18" s="77" t="s">
        <v>38</v>
      </c>
    </row>
    <row r="19" spans="3:18" x14ac:dyDescent="0.2">
      <c r="C19" s="62" t="s">
        <v>3</v>
      </c>
      <c r="D19" s="64" t="s">
        <v>39</v>
      </c>
      <c r="E19" s="95"/>
      <c r="F19" s="95"/>
      <c r="G19" s="95"/>
      <c r="J19" s="61" t="s">
        <v>40</v>
      </c>
      <c r="K19" s="120">
        <f>SUM(K15:K18)</f>
        <v>0</v>
      </c>
      <c r="L19" s="120">
        <f>SUM(L15:L18)</f>
        <v>0</v>
      </c>
      <c r="M19" s="120">
        <f>SUM(M15:M18)</f>
        <v>0</v>
      </c>
      <c r="N19" s="121">
        <f>SUM(N15:N18)</f>
        <v>0</v>
      </c>
      <c r="O19" s="74" t="s">
        <v>41</v>
      </c>
      <c r="P19" s="75" t="s">
        <v>42</v>
      </c>
      <c r="Q19" s="76" t="s">
        <v>43</v>
      </c>
      <c r="R19" s="77" t="s">
        <v>44</v>
      </c>
    </row>
    <row r="20" spans="3:18" x14ac:dyDescent="0.2">
      <c r="C20" s="62" t="s">
        <v>13</v>
      </c>
      <c r="D20" s="64" t="s">
        <v>45</v>
      </c>
      <c r="E20" s="95"/>
      <c r="F20" s="95"/>
      <c r="G20" s="95"/>
      <c r="J20" s="61" t="s">
        <v>46</v>
      </c>
      <c r="K20" s="120">
        <f>SUM(K15+K16)</f>
        <v>0</v>
      </c>
      <c r="L20" s="120">
        <f>SUM(L15+L16)</f>
        <v>0</v>
      </c>
      <c r="M20" s="120">
        <f>SUM(M15+M16)</f>
        <v>0</v>
      </c>
      <c r="N20" s="120">
        <f>SUM(N15+N16)</f>
        <v>0</v>
      </c>
      <c r="O20" s="74" t="s">
        <v>23</v>
      </c>
      <c r="P20" s="75" t="s">
        <v>47</v>
      </c>
      <c r="Q20" s="76" t="s">
        <v>48</v>
      </c>
      <c r="R20" s="77" t="s">
        <v>49</v>
      </c>
    </row>
    <row r="21" spans="3:18" x14ac:dyDescent="0.2">
      <c r="C21" s="62" t="s">
        <v>15</v>
      </c>
      <c r="D21" s="64" t="s">
        <v>50</v>
      </c>
      <c r="E21" s="95"/>
      <c r="F21" s="95"/>
      <c r="G21" s="95"/>
      <c r="J21" s="61" t="s">
        <v>51</v>
      </c>
      <c r="K21" s="120">
        <f>SUM(K17+K18)</f>
        <v>0</v>
      </c>
      <c r="L21" s="120">
        <f>SUM(L17+L18)</f>
        <v>0</v>
      </c>
      <c r="M21" s="120">
        <f>SUM(M17+M18)</f>
        <v>0</v>
      </c>
      <c r="N21" s="120">
        <f>SUM(N17+N18)</f>
        <v>0</v>
      </c>
      <c r="O21" s="74" t="s">
        <v>52</v>
      </c>
      <c r="P21" s="75" t="s">
        <v>48</v>
      </c>
      <c r="Q21" s="76" t="s">
        <v>53</v>
      </c>
      <c r="R21" s="77" t="s">
        <v>54</v>
      </c>
    </row>
    <row r="22" spans="3:18" x14ac:dyDescent="0.2">
      <c r="C22" s="62" t="s">
        <v>5</v>
      </c>
      <c r="D22" s="70" t="s">
        <v>55</v>
      </c>
      <c r="E22" s="95"/>
      <c r="F22" s="95"/>
      <c r="G22" s="95"/>
      <c r="J22" s="37" t="s">
        <v>56</v>
      </c>
      <c r="K22" s="37"/>
      <c r="L22" s="37"/>
      <c r="M22" s="71"/>
      <c r="N22" s="71"/>
      <c r="O22" s="74" t="s">
        <v>23</v>
      </c>
      <c r="P22" s="75" t="s">
        <v>29</v>
      </c>
      <c r="Q22" s="76" t="s">
        <v>24</v>
      </c>
      <c r="R22" s="77" t="s">
        <v>25</v>
      </c>
    </row>
    <row r="23" spans="3:18" x14ac:dyDescent="0.2">
      <c r="C23" s="62" t="s">
        <v>4</v>
      </c>
      <c r="D23" s="64" t="s">
        <v>57</v>
      </c>
      <c r="E23" s="95"/>
      <c r="F23" s="95"/>
      <c r="G23" s="95"/>
      <c r="J23" s="61"/>
      <c r="K23" s="62"/>
      <c r="L23" s="62"/>
      <c r="M23" s="62"/>
      <c r="N23" s="62"/>
      <c r="O23" s="72"/>
      <c r="P23" s="72"/>
      <c r="Q23" s="72"/>
      <c r="R23" s="72"/>
    </row>
    <row r="24" spans="3:18" x14ac:dyDescent="0.2">
      <c r="C24" s="62" t="s">
        <v>3</v>
      </c>
      <c r="D24" s="64" t="s">
        <v>58</v>
      </c>
      <c r="E24" s="95"/>
      <c r="F24" s="95"/>
      <c r="G24" s="95"/>
      <c r="J24" s="61" t="s">
        <v>13</v>
      </c>
      <c r="K24" s="120">
        <f>SUM(E12,F12,G12,E15,F15,G15,E20,F20,G20,E28,F28,G28,E31,F31,G31)</f>
        <v>0</v>
      </c>
      <c r="L24" s="120">
        <f>SUM(E45,F45,G45,E48,F48,G48,E53,F53,G53,E61,F61,G61,E64,F64,G64)</f>
        <v>0</v>
      </c>
      <c r="M24" s="121">
        <f>SUM(E76,F76,G76,E79,F79,G79,E84,F84,G84,E92,F92,G92,E95,F95,G95)</f>
        <v>0</v>
      </c>
      <c r="N24" s="121">
        <f>SUM(E106,F106,G106,E109,F109,G109,E114,F114,G114,E122,F122,G122,E125,F125,G125)</f>
        <v>0</v>
      </c>
      <c r="O24" s="74" t="s">
        <v>48</v>
      </c>
      <c r="P24" s="75" t="s">
        <v>59</v>
      </c>
      <c r="Q24" s="76" t="s">
        <v>60</v>
      </c>
      <c r="R24" s="77" t="s">
        <v>35</v>
      </c>
    </row>
    <row r="25" spans="3:18" x14ac:dyDescent="0.2">
      <c r="C25" s="62" t="s">
        <v>5</v>
      </c>
      <c r="D25" s="70" t="s">
        <v>61</v>
      </c>
      <c r="E25" s="95"/>
      <c r="F25" s="95"/>
      <c r="G25" s="95"/>
    </row>
    <row r="26" spans="3:18" x14ac:dyDescent="0.2">
      <c r="C26" s="62" t="s">
        <v>15</v>
      </c>
      <c r="D26" s="64" t="s">
        <v>62</v>
      </c>
      <c r="E26" s="95"/>
      <c r="F26" s="95"/>
      <c r="G26" s="95"/>
    </row>
    <row r="27" spans="3:18" ht="30" x14ac:dyDescent="0.2">
      <c r="C27" s="62" t="s">
        <v>3</v>
      </c>
      <c r="D27" s="64" t="s">
        <v>63</v>
      </c>
      <c r="E27" s="95"/>
      <c r="F27" s="95"/>
      <c r="G27" s="95"/>
    </row>
    <row r="28" spans="3:18" x14ac:dyDescent="0.2">
      <c r="C28" s="62" t="s">
        <v>13</v>
      </c>
      <c r="D28" s="64" t="s">
        <v>64</v>
      </c>
      <c r="E28" s="95"/>
      <c r="F28" s="95"/>
      <c r="G28" s="95"/>
    </row>
    <row r="29" spans="3:18" x14ac:dyDescent="0.2">
      <c r="C29" s="62" t="s">
        <v>4</v>
      </c>
      <c r="D29" s="64" t="s">
        <v>65</v>
      </c>
      <c r="E29" s="95"/>
      <c r="F29" s="95"/>
      <c r="G29" s="95"/>
    </row>
    <row r="30" spans="3:18" x14ac:dyDescent="0.2">
      <c r="C30" s="62" t="s">
        <v>5</v>
      </c>
      <c r="D30" s="64" t="s">
        <v>66</v>
      </c>
      <c r="E30" s="95"/>
      <c r="F30" s="95"/>
      <c r="G30" s="95"/>
    </row>
    <row r="31" spans="3:18" ht="30" x14ac:dyDescent="0.2">
      <c r="C31" s="62" t="s">
        <v>13</v>
      </c>
      <c r="D31" s="64" t="s">
        <v>67</v>
      </c>
      <c r="E31" s="95"/>
      <c r="F31" s="95"/>
      <c r="G31" s="95"/>
    </row>
    <row r="32" spans="3:18" x14ac:dyDescent="0.2">
      <c r="C32" s="62" t="s">
        <v>15</v>
      </c>
      <c r="D32" s="70" t="s">
        <v>68</v>
      </c>
      <c r="E32" s="95"/>
      <c r="F32" s="95"/>
      <c r="G32" s="95"/>
    </row>
    <row r="33" spans="2:17" x14ac:dyDescent="0.2">
      <c r="C33" s="62" t="s">
        <v>4</v>
      </c>
      <c r="D33" s="64" t="s">
        <v>69</v>
      </c>
      <c r="E33" s="95"/>
      <c r="F33" s="95"/>
      <c r="G33" s="95"/>
    </row>
    <row r="34" spans="2:17" x14ac:dyDescent="0.2">
      <c r="C34" s="62" t="s">
        <v>5</v>
      </c>
      <c r="D34" s="64" t="s">
        <v>70</v>
      </c>
      <c r="E34" s="95"/>
      <c r="F34" s="95"/>
      <c r="G34" s="95"/>
    </row>
    <row r="35" spans="2:17" x14ac:dyDescent="0.2">
      <c r="C35" s="62" t="s">
        <v>3</v>
      </c>
      <c r="D35" s="64" t="s">
        <v>71</v>
      </c>
      <c r="E35" s="95"/>
      <c r="F35" s="95"/>
      <c r="G35" s="95"/>
    </row>
    <row r="36" spans="2:17" x14ac:dyDescent="0.2">
      <c r="C36" s="62" t="s">
        <v>15</v>
      </c>
      <c r="D36" s="70" t="s">
        <v>72</v>
      </c>
      <c r="E36" s="95"/>
      <c r="F36" s="95"/>
      <c r="G36" s="95"/>
    </row>
    <row r="40" spans="2:17" ht="16" thickBot="1" x14ac:dyDescent="0.25"/>
    <row r="41" spans="2:17" ht="16" thickBot="1" x14ac:dyDescent="0.25">
      <c r="B41" s="139" t="s">
        <v>201</v>
      </c>
      <c r="C41" s="141"/>
      <c r="D41" s="89"/>
      <c r="E41" s="18" t="s">
        <v>199</v>
      </c>
      <c r="J41" s="24" t="s">
        <v>159</v>
      </c>
    </row>
    <row r="43" spans="2:17" x14ac:dyDescent="0.2">
      <c r="C43" s="61" t="s">
        <v>2</v>
      </c>
      <c r="D43" s="61" t="s">
        <v>7</v>
      </c>
      <c r="E43" s="61" t="s">
        <v>8</v>
      </c>
      <c r="F43" s="61" t="s">
        <v>9</v>
      </c>
      <c r="G43" s="61" t="b">
        <v>1</v>
      </c>
      <c r="J43" s="24" t="s">
        <v>162</v>
      </c>
    </row>
    <row r="44" spans="2:17" ht="16" thickBot="1" x14ac:dyDescent="0.25">
      <c r="C44" s="62"/>
      <c r="D44" s="63" t="s">
        <v>10</v>
      </c>
      <c r="E44" s="33" t="s">
        <v>11</v>
      </c>
      <c r="F44" s="33">
        <v>1</v>
      </c>
      <c r="G44" s="33" t="s">
        <v>12</v>
      </c>
      <c r="J44" s="18" t="s">
        <v>166</v>
      </c>
    </row>
    <row r="45" spans="2:17" x14ac:dyDescent="0.2">
      <c r="C45" s="62" t="s">
        <v>13</v>
      </c>
      <c r="D45" s="64" t="s">
        <v>14</v>
      </c>
      <c r="E45" s="94"/>
      <c r="F45" s="95"/>
      <c r="G45" s="95"/>
      <c r="J45" s="96" t="s">
        <v>202</v>
      </c>
      <c r="K45" s="97" t="str" cm="1">
        <f t="array" ref="K45">_xlfn.LET(
  _xlpm.dataRange, E12:G36,
  _xlpm.rowCounts, _xlfn.BYROW(_xlpm.dataRange, _xlfn.LAMBDA(_xlpm.row, COUNTA(_xlpm.row))),
  _xlpm.valid, AND(_xlpm.rowCounts=1),
  IF(COUNTA(_xlpm.dataRange)=0, "", IF(_xlpm.valid, "Complete", "Incomplete"))
)</f>
        <v/>
      </c>
    </row>
    <row r="46" spans="2:17" x14ac:dyDescent="0.2">
      <c r="C46" s="62" t="s">
        <v>15</v>
      </c>
      <c r="D46" s="64" t="s">
        <v>16</v>
      </c>
      <c r="E46" s="95"/>
      <c r="F46" s="95"/>
      <c r="G46" s="95"/>
      <c r="J46" s="98" t="s">
        <v>191</v>
      </c>
      <c r="K46" s="99" t="str" cm="1">
        <f t="array" ref="K46">_xlfn.LET(
  _xlpm.dataRange, E45:G69,
  _xlpm.rowCounts, _xlfn.BYROW(_xlpm.dataRange, _xlfn.LAMBDA(_xlpm.row, COUNTA(_xlpm.row))),
  _xlpm.valid, AND(_xlpm.rowCounts=1),
  IF(COUNTA(_xlpm.dataRange)=0, "", IF(_xlpm.valid, "Complete", "Incomplete"))
)</f>
        <v/>
      </c>
    </row>
    <row r="47" spans="2:17" ht="30" x14ac:dyDescent="0.2">
      <c r="C47" s="62" t="s">
        <v>3</v>
      </c>
      <c r="D47" s="64" t="s">
        <v>18</v>
      </c>
      <c r="E47" s="95"/>
      <c r="F47" s="95"/>
      <c r="G47" s="95"/>
      <c r="J47" s="98" t="s">
        <v>160</v>
      </c>
      <c r="K47" s="99" t="str" cm="1">
        <f t="array" ref="K47">_xlfn.LET(
  _xlpm.dataRange, E76:G100,
  _xlpm.rowCounts, _xlfn.BYROW(_xlpm.dataRange, _xlfn.LAMBDA(_xlpm.row, COUNTA(_xlpm.row))),
  _xlpm.valid, AND(_xlpm.rowCounts=1),
  IF(COUNTA(_xlpm.dataRange)=0, "", IF(_xlpm.valid, "Complete", "Incomplete"))
)</f>
        <v/>
      </c>
      <c r="N47" s="187"/>
      <c r="O47" s="187"/>
      <c r="P47" s="187"/>
      <c r="Q47" s="73"/>
    </row>
    <row r="48" spans="2:17" ht="31" thickBot="1" x14ac:dyDescent="0.25">
      <c r="C48" s="62" t="s">
        <v>13</v>
      </c>
      <c r="D48" s="64" t="s">
        <v>22</v>
      </c>
      <c r="E48" s="95"/>
      <c r="F48" s="95"/>
      <c r="G48" s="95"/>
      <c r="J48" s="100" t="s">
        <v>161</v>
      </c>
      <c r="K48" s="101" t="str" cm="1">
        <f t="array" ref="K48">_xlfn.LET(
  _xlpm.dataRange, E106:G130,
  _xlpm.rowCounts, _xlfn.BYROW(_xlpm.dataRange, _xlfn.LAMBDA(_xlpm.row, COUNTA(_xlpm.row))),
  _xlpm.valid, AND(_xlpm.rowCounts=1),
  IF(COUNTA(_xlpm.dataRange)=0, "", IF(_xlpm.valid, "Complete", "Incomplete"))
)</f>
        <v/>
      </c>
    </row>
    <row r="49" spans="3:7" x14ac:dyDescent="0.2">
      <c r="C49" s="62" t="s">
        <v>4</v>
      </c>
      <c r="D49" s="64" t="s">
        <v>26</v>
      </c>
      <c r="E49" s="95"/>
      <c r="F49" s="95"/>
      <c r="G49" s="95"/>
    </row>
    <row r="50" spans="3:7" x14ac:dyDescent="0.2">
      <c r="C50" s="62" t="s">
        <v>5</v>
      </c>
      <c r="D50" s="64" t="s">
        <v>31</v>
      </c>
      <c r="E50" s="95"/>
      <c r="F50" s="95"/>
      <c r="G50" s="95"/>
    </row>
    <row r="51" spans="3:7" x14ac:dyDescent="0.2">
      <c r="C51" s="62" t="s">
        <v>4</v>
      </c>
      <c r="D51" s="70" t="s">
        <v>34</v>
      </c>
      <c r="E51" s="95"/>
      <c r="F51" s="95"/>
      <c r="G51" s="95"/>
    </row>
    <row r="52" spans="3:7" x14ac:dyDescent="0.2">
      <c r="C52" s="62" t="s">
        <v>3</v>
      </c>
      <c r="D52" s="64" t="s">
        <v>39</v>
      </c>
      <c r="E52" s="95"/>
      <c r="F52" s="95"/>
      <c r="G52" s="95"/>
    </row>
    <row r="53" spans="3:7" x14ac:dyDescent="0.2">
      <c r="C53" s="62" t="s">
        <v>13</v>
      </c>
      <c r="D53" s="64" t="s">
        <v>45</v>
      </c>
      <c r="E53" s="95"/>
      <c r="F53" s="95"/>
      <c r="G53" s="95"/>
    </row>
    <row r="54" spans="3:7" x14ac:dyDescent="0.2">
      <c r="C54" s="62" t="s">
        <v>15</v>
      </c>
      <c r="D54" s="64" t="s">
        <v>50</v>
      </c>
      <c r="E54" s="95"/>
      <c r="F54" s="95"/>
      <c r="G54" s="95"/>
    </row>
    <row r="55" spans="3:7" x14ac:dyDescent="0.2">
      <c r="C55" s="62" t="s">
        <v>5</v>
      </c>
      <c r="D55" s="70" t="s">
        <v>55</v>
      </c>
      <c r="E55" s="95"/>
      <c r="F55" s="95"/>
      <c r="G55" s="95"/>
    </row>
    <row r="56" spans="3:7" x14ac:dyDescent="0.2">
      <c r="C56" s="62" t="s">
        <v>4</v>
      </c>
      <c r="D56" s="64" t="s">
        <v>57</v>
      </c>
      <c r="E56" s="95"/>
      <c r="F56" s="95"/>
      <c r="G56" s="95"/>
    </row>
    <row r="57" spans="3:7" x14ac:dyDescent="0.2">
      <c r="C57" s="62" t="s">
        <v>3</v>
      </c>
      <c r="D57" s="64" t="s">
        <v>58</v>
      </c>
      <c r="E57" s="95"/>
      <c r="F57" s="95"/>
      <c r="G57" s="95"/>
    </row>
    <row r="58" spans="3:7" x14ac:dyDescent="0.2">
      <c r="C58" s="62" t="s">
        <v>5</v>
      </c>
      <c r="D58" s="70" t="s">
        <v>61</v>
      </c>
      <c r="E58" s="95"/>
      <c r="F58" s="95"/>
      <c r="G58" s="95"/>
    </row>
    <row r="59" spans="3:7" x14ac:dyDescent="0.2">
      <c r="C59" s="62" t="s">
        <v>15</v>
      </c>
      <c r="D59" s="64" t="s">
        <v>62</v>
      </c>
      <c r="E59" s="95"/>
      <c r="F59" s="95"/>
      <c r="G59" s="95"/>
    </row>
    <row r="60" spans="3:7" ht="30" x14ac:dyDescent="0.2">
      <c r="C60" s="62" t="s">
        <v>3</v>
      </c>
      <c r="D60" s="64" t="s">
        <v>63</v>
      </c>
      <c r="E60" s="95"/>
      <c r="F60" s="95"/>
      <c r="G60" s="95"/>
    </row>
    <row r="61" spans="3:7" x14ac:dyDescent="0.2">
      <c r="C61" s="62" t="s">
        <v>13</v>
      </c>
      <c r="D61" s="64" t="s">
        <v>64</v>
      </c>
      <c r="E61" s="95"/>
      <c r="F61" s="95"/>
      <c r="G61" s="95"/>
    </row>
    <row r="62" spans="3:7" x14ac:dyDescent="0.2">
      <c r="C62" s="62" t="s">
        <v>4</v>
      </c>
      <c r="D62" s="64" t="s">
        <v>65</v>
      </c>
      <c r="E62" s="95"/>
      <c r="F62" s="95"/>
      <c r="G62" s="95"/>
    </row>
    <row r="63" spans="3:7" x14ac:dyDescent="0.2">
      <c r="C63" s="62" t="s">
        <v>5</v>
      </c>
      <c r="D63" s="64" t="s">
        <v>66</v>
      </c>
      <c r="E63" s="95"/>
      <c r="F63" s="95"/>
      <c r="G63" s="95"/>
    </row>
    <row r="64" spans="3:7" ht="30" x14ac:dyDescent="0.2">
      <c r="C64" s="62" t="s">
        <v>13</v>
      </c>
      <c r="D64" s="64" t="s">
        <v>67</v>
      </c>
      <c r="E64" s="95"/>
      <c r="F64" s="95"/>
      <c r="G64" s="95"/>
    </row>
    <row r="65" spans="3:17" x14ac:dyDescent="0.2">
      <c r="C65" s="62" t="s">
        <v>15</v>
      </c>
      <c r="D65" s="70" t="s">
        <v>68</v>
      </c>
      <c r="E65" s="95"/>
      <c r="F65" s="95"/>
      <c r="G65" s="95"/>
    </row>
    <row r="66" spans="3:17" x14ac:dyDescent="0.2">
      <c r="C66" s="62" t="s">
        <v>4</v>
      </c>
      <c r="D66" s="64" t="s">
        <v>69</v>
      </c>
      <c r="E66" s="95"/>
      <c r="F66" s="95"/>
      <c r="G66" s="95"/>
    </row>
    <row r="67" spans="3:17" x14ac:dyDescent="0.2">
      <c r="C67" s="62" t="s">
        <v>5</v>
      </c>
      <c r="D67" s="64" t="s">
        <v>70</v>
      </c>
      <c r="E67" s="95"/>
      <c r="F67" s="95"/>
      <c r="G67" s="95"/>
    </row>
    <row r="68" spans="3:17" x14ac:dyDescent="0.2">
      <c r="C68" s="62" t="s">
        <v>3</v>
      </c>
      <c r="D68" s="64" t="s">
        <v>71</v>
      </c>
      <c r="E68" s="95"/>
      <c r="F68" s="95"/>
      <c r="G68" s="95"/>
    </row>
    <row r="69" spans="3:17" x14ac:dyDescent="0.2">
      <c r="C69" s="62" t="s">
        <v>15</v>
      </c>
      <c r="D69" s="70" t="s">
        <v>72</v>
      </c>
      <c r="E69" s="95"/>
      <c r="F69" s="95"/>
      <c r="G69" s="95"/>
    </row>
    <row r="72" spans="3:17" x14ac:dyDescent="0.2">
      <c r="C72" s="24" t="s">
        <v>73</v>
      </c>
    </row>
    <row r="74" spans="3:17" x14ac:dyDescent="0.2">
      <c r="C74" s="61" t="s">
        <v>2</v>
      </c>
      <c r="D74" s="61" t="s">
        <v>7</v>
      </c>
      <c r="E74" s="61" t="s">
        <v>8</v>
      </c>
      <c r="F74" s="61" t="s">
        <v>9</v>
      </c>
      <c r="G74" s="61" t="b">
        <v>1</v>
      </c>
    </row>
    <row r="75" spans="3:17" x14ac:dyDescent="0.2">
      <c r="C75" s="62"/>
      <c r="D75" s="63" t="s">
        <v>10</v>
      </c>
      <c r="E75" s="33" t="s">
        <v>11</v>
      </c>
      <c r="F75" s="33">
        <v>1</v>
      </c>
      <c r="G75" s="33" t="s">
        <v>12</v>
      </c>
    </row>
    <row r="76" spans="3:17" x14ac:dyDescent="0.2">
      <c r="C76" s="62" t="s">
        <v>13</v>
      </c>
      <c r="D76" s="64" t="s">
        <v>14</v>
      </c>
      <c r="E76" s="94"/>
      <c r="F76" s="95"/>
      <c r="G76" s="95"/>
    </row>
    <row r="77" spans="3:17" x14ac:dyDescent="0.2">
      <c r="C77" s="62" t="s">
        <v>15</v>
      </c>
      <c r="D77" s="64" t="s">
        <v>16</v>
      </c>
      <c r="E77" s="95"/>
      <c r="F77" s="95"/>
      <c r="G77" s="95"/>
      <c r="J77" s="24"/>
    </row>
    <row r="78" spans="3:17" ht="30" x14ac:dyDescent="0.2">
      <c r="C78" s="62" t="s">
        <v>3</v>
      </c>
      <c r="D78" s="64" t="s">
        <v>18</v>
      </c>
      <c r="E78" s="95"/>
      <c r="F78" s="95"/>
      <c r="G78" s="95"/>
      <c r="N78" s="187"/>
      <c r="O78" s="187"/>
      <c r="P78" s="187"/>
      <c r="Q78" s="73"/>
    </row>
    <row r="79" spans="3:17" ht="30" x14ac:dyDescent="0.2">
      <c r="C79" s="62" t="s">
        <v>13</v>
      </c>
      <c r="D79" s="64" t="s">
        <v>22</v>
      </c>
      <c r="E79" s="95"/>
      <c r="F79" s="95"/>
      <c r="G79" s="95"/>
    </row>
    <row r="80" spans="3:17" x14ac:dyDescent="0.2">
      <c r="C80" s="62" t="s">
        <v>4</v>
      </c>
      <c r="D80" s="64" t="s">
        <v>26</v>
      </c>
      <c r="E80" s="95"/>
      <c r="F80" s="95"/>
      <c r="G80" s="95"/>
    </row>
    <row r="81" spans="3:7" x14ac:dyDescent="0.2">
      <c r="C81" s="62" t="s">
        <v>5</v>
      </c>
      <c r="D81" s="64" t="s">
        <v>31</v>
      </c>
      <c r="E81" s="95"/>
      <c r="F81" s="95"/>
      <c r="G81" s="95"/>
    </row>
    <row r="82" spans="3:7" x14ac:dyDescent="0.2">
      <c r="C82" s="62" t="s">
        <v>4</v>
      </c>
      <c r="D82" s="70" t="s">
        <v>34</v>
      </c>
      <c r="E82" s="95"/>
      <c r="F82" s="95"/>
      <c r="G82" s="95"/>
    </row>
    <row r="83" spans="3:7" x14ac:dyDescent="0.2">
      <c r="C83" s="62" t="s">
        <v>3</v>
      </c>
      <c r="D83" s="64" t="s">
        <v>39</v>
      </c>
      <c r="E83" s="95"/>
      <c r="F83" s="95"/>
      <c r="G83" s="95"/>
    </row>
    <row r="84" spans="3:7" x14ac:dyDescent="0.2">
      <c r="C84" s="62" t="s">
        <v>13</v>
      </c>
      <c r="D84" s="64" t="s">
        <v>45</v>
      </c>
      <c r="E84" s="95"/>
      <c r="F84" s="95"/>
      <c r="G84" s="95"/>
    </row>
    <row r="85" spans="3:7" x14ac:dyDescent="0.2">
      <c r="C85" s="62" t="s">
        <v>15</v>
      </c>
      <c r="D85" s="64" t="s">
        <v>50</v>
      </c>
      <c r="E85" s="95"/>
      <c r="F85" s="95"/>
      <c r="G85" s="95"/>
    </row>
    <row r="86" spans="3:7" x14ac:dyDescent="0.2">
      <c r="C86" s="62" t="s">
        <v>5</v>
      </c>
      <c r="D86" s="70" t="s">
        <v>55</v>
      </c>
      <c r="E86" s="95"/>
      <c r="F86" s="95"/>
      <c r="G86" s="95"/>
    </row>
    <row r="87" spans="3:7" x14ac:dyDescent="0.2">
      <c r="C87" s="62" t="s">
        <v>4</v>
      </c>
      <c r="D87" s="64" t="s">
        <v>57</v>
      </c>
      <c r="E87" s="95"/>
      <c r="F87" s="95"/>
      <c r="G87" s="95"/>
    </row>
    <row r="88" spans="3:7" x14ac:dyDescent="0.2">
      <c r="C88" s="62" t="s">
        <v>3</v>
      </c>
      <c r="D88" s="64" t="s">
        <v>58</v>
      </c>
      <c r="E88" s="95"/>
      <c r="F88" s="95"/>
      <c r="G88" s="95"/>
    </row>
    <row r="89" spans="3:7" x14ac:dyDescent="0.2">
      <c r="C89" s="62" t="s">
        <v>5</v>
      </c>
      <c r="D89" s="70" t="s">
        <v>61</v>
      </c>
      <c r="E89" s="95"/>
      <c r="F89" s="95"/>
      <c r="G89" s="95"/>
    </row>
    <row r="90" spans="3:7" x14ac:dyDescent="0.2">
      <c r="C90" s="62" t="s">
        <v>15</v>
      </c>
      <c r="D90" s="64" t="s">
        <v>62</v>
      </c>
      <c r="E90" s="95"/>
      <c r="F90" s="95"/>
      <c r="G90" s="95"/>
    </row>
    <row r="91" spans="3:7" ht="30" x14ac:dyDescent="0.2">
      <c r="C91" s="62" t="s">
        <v>3</v>
      </c>
      <c r="D91" s="64" t="s">
        <v>63</v>
      </c>
      <c r="E91" s="95"/>
      <c r="F91" s="95"/>
      <c r="G91" s="95"/>
    </row>
    <row r="92" spans="3:7" x14ac:dyDescent="0.2">
      <c r="C92" s="62" t="s">
        <v>13</v>
      </c>
      <c r="D92" s="64" t="s">
        <v>64</v>
      </c>
      <c r="E92" s="95"/>
      <c r="F92" s="95"/>
      <c r="G92" s="95"/>
    </row>
    <row r="93" spans="3:7" x14ac:dyDescent="0.2">
      <c r="C93" s="62" t="s">
        <v>4</v>
      </c>
      <c r="D93" s="64" t="s">
        <v>65</v>
      </c>
      <c r="E93" s="95"/>
      <c r="F93" s="95"/>
      <c r="G93" s="95"/>
    </row>
    <row r="94" spans="3:7" x14ac:dyDescent="0.2">
      <c r="C94" s="62" t="s">
        <v>5</v>
      </c>
      <c r="D94" s="64" t="s">
        <v>66</v>
      </c>
      <c r="E94" s="95"/>
      <c r="F94" s="95"/>
      <c r="G94" s="95"/>
    </row>
    <row r="95" spans="3:7" ht="30" x14ac:dyDescent="0.2">
      <c r="C95" s="62" t="s">
        <v>13</v>
      </c>
      <c r="D95" s="64" t="s">
        <v>67</v>
      </c>
      <c r="E95" s="95"/>
      <c r="F95" s="95"/>
      <c r="G95" s="95"/>
    </row>
    <row r="96" spans="3:7" x14ac:dyDescent="0.2">
      <c r="C96" s="62" t="s">
        <v>15</v>
      </c>
      <c r="D96" s="70" t="s">
        <v>68</v>
      </c>
      <c r="E96" s="95"/>
      <c r="F96" s="95"/>
      <c r="G96" s="95"/>
    </row>
    <row r="97" spans="3:7" x14ac:dyDescent="0.2">
      <c r="C97" s="62" t="s">
        <v>4</v>
      </c>
      <c r="D97" s="64" t="s">
        <v>69</v>
      </c>
      <c r="E97" s="95"/>
      <c r="F97" s="95"/>
      <c r="G97" s="95"/>
    </row>
    <row r="98" spans="3:7" x14ac:dyDescent="0.2">
      <c r="C98" s="62" t="s">
        <v>5</v>
      </c>
      <c r="D98" s="64" t="s">
        <v>70</v>
      </c>
      <c r="E98" s="95"/>
      <c r="F98" s="95"/>
      <c r="G98" s="95"/>
    </row>
    <row r="99" spans="3:7" x14ac:dyDescent="0.2">
      <c r="C99" s="62" t="s">
        <v>3</v>
      </c>
      <c r="D99" s="64" t="s">
        <v>71</v>
      </c>
      <c r="E99" s="95"/>
      <c r="F99" s="95"/>
      <c r="G99" s="95"/>
    </row>
    <row r="100" spans="3:7" x14ac:dyDescent="0.2">
      <c r="C100" s="62" t="s">
        <v>15</v>
      </c>
      <c r="D100" s="70" t="s">
        <v>72</v>
      </c>
      <c r="E100" s="95"/>
      <c r="F100" s="95"/>
      <c r="G100" s="95"/>
    </row>
    <row r="102" spans="3:7" x14ac:dyDescent="0.2">
      <c r="C102" s="24" t="s">
        <v>74</v>
      </c>
    </row>
    <row r="104" spans="3:7" x14ac:dyDescent="0.2">
      <c r="C104" s="61" t="s">
        <v>2</v>
      </c>
      <c r="D104" s="61" t="s">
        <v>7</v>
      </c>
      <c r="E104" s="61" t="s">
        <v>8</v>
      </c>
      <c r="F104" s="61" t="s">
        <v>9</v>
      </c>
      <c r="G104" s="61" t="b">
        <v>1</v>
      </c>
    </row>
    <row r="105" spans="3:7" x14ac:dyDescent="0.2">
      <c r="C105" s="62"/>
      <c r="D105" s="63" t="s">
        <v>10</v>
      </c>
      <c r="E105" s="33" t="s">
        <v>11</v>
      </c>
      <c r="F105" s="33">
        <v>1</v>
      </c>
      <c r="G105" s="33" t="s">
        <v>12</v>
      </c>
    </row>
    <row r="106" spans="3:7" x14ac:dyDescent="0.2">
      <c r="C106" s="62" t="s">
        <v>13</v>
      </c>
      <c r="D106" s="64" t="s">
        <v>14</v>
      </c>
      <c r="E106" s="94"/>
      <c r="F106" s="95"/>
      <c r="G106" s="95"/>
    </row>
    <row r="107" spans="3:7" x14ac:dyDescent="0.2">
      <c r="C107" s="62" t="s">
        <v>15</v>
      </c>
      <c r="D107" s="64" t="s">
        <v>16</v>
      </c>
      <c r="E107" s="95"/>
      <c r="F107" s="95"/>
      <c r="G107" s="95"/>
    </row>
    <row r="108" spans="3:7" ht="30" x14ac:dyDescent="0.2">
      <c r="C108" s="62" t="s">
        <v>3</v>
      </c>
      <c r="D108" s="64" t="s">
        <v>18</v>
      </c>
      <c r="E108" s="95"/>
      <c r="F108" s="95"/>
      <c r="G108" s="95"/>
    </row>
    <row r="109" spans="3:7" ht="30" x14ac:dyDescent="0.2">
      <c r="C109" s="62" t="s">
        <v>13</v>
      </c>
      <c r="D109" s="64" t="s">
        <v>22</v>
      </c>
      <c r="E109" s="95"/>
      <c r="F109" s="95"/>
      <c r="G109" s="95"/>
    </row>
    <row r="110" spans="3:7" x14ac:dyDescent="0.2">
      <c r="C110" s="62" t="s">
        <v>4</v>
      </c>
      <c r="D110" s="64" t="s">
        <v>26</v>
      </c>
      <c r="E110" s="95"/>
      <c r="F110" s="95"/>
      <c r="G110" s="95"/>
    </row>
    <row r="111" spans="3:7" x14ac:dyDescent="0.2">
      <c r="C111" s="62" t="s">
        <v>5</v>
      </c>
      <c r="D111" s="64" t="s">
        <v>31</v>
      </c>
      <c r="E111" s="95"/>
      <c r="F111" s="95"/>
      <c r="G111" s="95"/>
    </row>
    <row r="112" spans="3:7" x14ac:dyDescent="0.2">
      <c r="C112" s="62" t="s">
        <v>4</v>
      </c>
      <c r="D112" s="70" t="s">
        <v>34</v>
      </c>
      <c r="E112" s="95"/>
      <c r="F112" s="95"/>
      <c r="G112" s="95"/>
    </row>
    <row r="113" spans="3:7" x14ac:dyDescent="0.2">
      <c r="C113" s="62" t="s">
        <v>3</v>
      </c>
      <c r="D113" s="64" t="s">
        <v>39</v>
      </c>
      <c r="E113" s="95"/>
      <c r="F113" s="95"/>
      <c r="G113" s="95"/>
    </row>
    <row r="114" spans="3:7" x14ac:dyDescent="0.2">
      <c r="C114" s="62" t="s">
        <v>13</v>
      </c>
      <c r="D114" s="64" t="s">
        <v>45</v>
      </c>
      <c r="E114" s="95"/>
      <c r="F114" s="95"/>
      <c r="G114" s="95"/>
    </row>
    <row r="115" spans="3:7" x14ac:dyDescent="0.2">
      <c r="C115" s="62" t="s">
        <v>15</v>
      </c>
      <c r="D115" s="64" t="s">
        <v>50</v>
      </c>
      <c r="E115" s="95"/>
      <c r="F115" s="95"/>
      <c r="G115" s="95"/>
    </row>
    <row r="116" spans="3:7" x14ac:dyDescent="0.2">
      <c r="C116" s="62" t="s">
        <v>5</v>
      </c>
      <c r="D116" s="70" t="s">
        <v>55</v>
      </c>
      <c r="E116" s="95"/>
      <c r="F116" s="95"/>
      <c r="G116" s="95"/>
    </row>
    <row r="117" spans="3:7" x14ac:dyDescent="0.2">
      <c r="C117" s="62" t="s">
        <v>4</v>
      </c>
      <c r="D117" s="64" t="s">
        <v>57</v>
      </c>
      <c r="E117" s="95"/>
      <c r="F117" s="95"/>
      <c r="G117" s="95"/>
    </row>
    <row r="118" spans="3:7" x14ac:dyDescent="0.2">
      <c r="C118" s="62" t="s">
        <v>3</v>
      </c>
      <c r="D118" s="64" t="s">
        <v>58</v>
      </c>
      <c r="E118" s="95"/>
      <c r="F118" s="95"/>
      <c r="G118" s="95"/>
    </row>
    <row r="119" spans="3:7" x14ac:dyDescent="0.2">
      <c r="C119" s="62" t="s">
        <v>5</v>
      </c>
      <c r="D119" s="70" t="s">
        <v>61</v>
      </c>
      <c r="E119" s="95"/>
      <c r="F119" s="95"/>
      <c r="G119" s="95"/>
    </row>
    <row r="120" spans="3:7" x14ac:dyDescent="0.2">
      <c r="C120" s="62" t="s">
        <v>15</v>
      </c>
      <c r="D120" s="64" t="s">
        <v>62</v>
      </c>
      <c r="E120" s="95"/>
      <c r="F120" s="95"/>
      <c r="G120" s="95"/>
    </row>
    <row r="121" spans="3:7" ht="30" x14ac:dyDescent="0.2">
      <c r="C121" s="62" t="s">
        <v>3</v>
      </c>
      <c r="D121" s="64" t="s">
        <v>63</v>
      </c>
      <c r="E121" s="95"/>
      <c r="F121" s="95"/>
      <c r="G121" s="95"/>
    </row>
    <row r="122" spans="3:7" x14ac:dyDescent="0.2">
      <c r="C122" s="62" t="s">
        <v>13</v>
      </c>
      <c r="D122" s="64" t="s">
        <v>64</v>
      </c>
      <c r="E122" s="95"/>
      <c r="F122" s="95"/>
      <c r="G122" s="95"/>
    </row>
    <row r="123" spans="3:7" x14ac:dyDescent="0.2">
      <c r="C123" s="62" t="s">
        <v>4</v>
      </c>
      <c r="D123" s="64" t="s">
        <v>65</v>
      </c>
      <c r="E123" s="95"/>
      <c r="F123" s="95"/>
      <c r="G123" s="95"/>
    </row>
    <row r="124" spans="3:7" x14ac:dyDescent="0.2">
      <c r="C124" s="62" t="s">
        <v>5</v>
      </c>
      <c r="D124" s="64" t="s">
        <v>66</v>
      </c>
      <c r="E124" s="95"/>
      <c r="F124" s="95"/>
      <c r="G124" s="95"/>
    </row>
    <row r="125" spans="3:7" ht="30" x14ac:dyDescent="0.2">
      <c r="C125" s="62" t="s">
        <v>13</v>
      </c>
      <c r="D125" s="64" t="s">
        <v>67</v>
      </c>
      <c r="E125" s="95"/>
      <c r="F125" s="95"/>
      <c r="G125" s="95"/>
    </row>
    <row r="126" spans="3:7" x14ac:dyDescent="0.2">
      <c r="C126" s="62" t="s">
        <v>15</v>
      </c>
      <c r="D126" s="70" t="s">
        <v>68</v>
      </c>
      <c r="E126" s="95"/>
      <c r="F126" s="95"/>
      <c r="G126" s="95"/>
    </row>
    <row r="127" spans="3:7" x14ac:dyDescent="0.2">
      <c r="C127" s="62" t="s">
        <v>4</v>
      </c>
      <c r="D127" s="64" t="s">
        <v>69</v>
      </c>
      <c r="E127" s="95"/>
      <c r="F127" s="95"/>
      <c r="G127" s="95"/>
    </row>
    <row r="128" spans="3:7" x14ac:dyDescent="0.2">
      <c r="C128" s="62" t="s">
        <v>5</v>
      </c>
      <c r="D128" s="64" t="s">
        <v>70</v>
      </c>
      <c r="E128" s="95"/>
      <c r="F128" s="95"/>
      <c r="G128" s="95"/>
    </row>
    <row r="129" spans="3:7" x14ac:dyDescent="0.2">
      <c r="C129" s="62" t="s">
        <v>3</v>
      </c>
      <c r="D129" s="64" t="s">
        <v>71</v>
      </c>
      <c r="E129" s="95"/>
      <c r="F129" s="95"/>
      <c r="G129" s="95"/>
    </row>
    <row r="130" spans="3:7" x14ac:dyDescent="0.2">
      <c r="C130" s="62" t="s">
        <v>15</v>
      </c>
      <c r="D130" s="70" t="s">
        <v>72</v>
      </c>
      <c r="E130" s="95"/>
      <c r="F130" s="95"/>
      <c r="G130" s="95"/>
    </row>
  </sheetData>
  <sheetProtection algorithmName="SHA-512" hashValue="XJFA1lQUd+VV8mg8oCWNN06RUmScgeqz4GYJEMlY3QNlha/F8EyFNreff8vANIumHIXmDRci+mvkzxMSJ4cJaw==" saltValue="AahEPgCkH06lhDOY/FvsP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E204078B-A20A-4E1B-A386-C16687236174}">
      <formula1>45170</formula1>
      <formula2>49552</formula2>
    </dataValidation>
  </dataValidations>
  <pageMargins left="0.7" right="0.7" top="0.75" bottom="0.75" header="0.3" footer="0.3"/>
  <pageSetup scale="43" fitToHeight="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B5FF-0FFC-40D5-9FDE-D80D59281A11}">
  <sheetPr>
    <pageSetUpPr fitToPage="1"/>
  </sheetPr>
  <dimension ref="B2:R130"/>
  <sheetViews>
    <sheetView showGridLines="0" topLeftCell="F1" workbookViewId="0">
      <selection activeCell="H3" sqref="H3"/>
    </sheetView>
  </sheetViews>
  <sheetFormatPr baseColWidth="10" defaultColWidth="9.1640625" defaultRowHeight="15" x14ac:dyDescent="0.2"/>
  <cols>
    <col min="1" max="1" width="9.1640625" style="18"/>
    <col min="2" max="2" width="7.33203125" style="18" customWidth="1"/>
    <col min="3" max="3" width="27.83203125" style="18" bestFit="1" customWidth="1"/>
    <col min="4" max="4" width="45.6640625" style="18" customWidth="1"/>
    <col min="5" max="5" width="13.33203125" style="18" customWidth="1"/>
    <col min="6" max="6" width="13" style="18" customWidth="1"/>
    <col min="7" max="7" width="13.5" style="18" customWidth="1"/>
    <col min="8" max="9" width="9.1640625" style="18"/>
    <col min="10" max="11" width="21.6640625" style="18" customWidth="1"/>
    <col min="12" max="12" width="17.1640625" style="18" customWidth="1"/>
    <col min="13" max="13" width="16.1640625" style="18" customWidth="1"/>
    <col min="14" max="14" width="14.5" style="18" customWidth="1"/>
    <col min="15" max="15" width="13.1640625" style="18" customWidth="1"/>
    <col min="16" max="17" width="13.5" style="18" customWidth="1"/>
    <col min="18" max="16384" width="9.1640625" style="18"/>
  </cols>
  <sheetData>
    <row r="2" spans="2:18" x14ac:dyDescent="0.2">
      <c r="C2" s="24" t="s">
        <v>126</v>
      </c>
      <c r="D2" s="18" t="s">
        <v>163</v>
      </c>
    </row>
    <row r="3" spans="2:18" x14ac:dyDescent="0.2">
      <c r="C3" s="24"/>
      <c r="D3" s="18" t="s">
        <v>164</v>
      </c>
    </row>
    <row r="4" spans="2:18" x14ac:dyDescent="0.2">
      <c r="C4" s="24"/>
      <c r="D4" s="18" t="s">
        <v>165</v>
      </c>
    </row>
    <row r="5" spans="2:18" ht="16" thickBot="1" x14ac:dyDescent="0.25"/>
    <row r="6" spans="2:18" ht="16" thickBot="1" x14ac:dyDescent="0.25">
      <c r="C6" s="24" t="s">
        <v>104</v>
      </c>
      <c r="D6" s="27"/>
    </row>
    <row r="7" spans="2:18" ht="16" thickBot="1" x14ac:dyDescent="0.25"/>
    <row r="8" spans="2:18" ht="16" thickBot="1" x14ac:dyDescent="0.25">
      <c r="B8" s="139" t="s">
        <v>200</v>
      </c>
      <c r="C8" s="139"/>
      <c r="D8" s="89"/>
      <c r="E8" s="18" t="s">
        <v>199</v>
      </c>
    </row>
    <row r="10" spans="2:18" x14ac:dyDescent="0.2">
      <c r="C10" s="61" t="s">
        <v>2</v>
      </c>
      <c r="D10" s="61" t="s">
        <v>7</v>
      </c>
      <c r="E10" s="61" t="s">
        <v>8</v>
      </c>
      <c r="F10" s="61" t="s">
        <v>9</v>
      </c>
      <c r="G10" s="61" t="b">
        <v>1</v>
      </c>
    </row>
    <row r="11" spans="2:18" x14ac:dyDescent="0.2">
      <c r="C11" s="62"/>
      <c r="D11" s="63" t="s">
        <v>10</v>
      </c>
      <c r="E11" s="33" t="s">
        <v>11</v>
      </c>
      <c r="F11" s="33">
        <v>1</v>
      </c>
      <c r="G11" s="33" t="s">
        <v>12</v>
      </c>
      <c r="J11" s="18" t="s">
        <v>184</v>
      </c>
    </row>
    <row r="12" spans="2:18" x14ac:dyDescent="0.2">
      <c r="C12" s="62" t="s">
        <v>13</v>
      </c>
      <c r="D12" s="64" t="s">
        <v>14</v>
      </c>
      <c r="E12" s="65"/>
      <c r="F12" s="37"/>
      <c r="G12" s="37"/>
    </row>
    <row r="13" spans="2:18" x14ac:dyDescent="0.2">
      <c r="C13" s="62" t="s">
        <v>15</v>
      </c>
      <c r="D13" s="64" t="s">
        <v>16</v>
      </c>
      <c r="E13" s="37"/>
      <c r="F13" s="37"/>
      <c r="G13" s="37"/>
      <c r="J13" s="24" t="s">
        <v>17</v>
      </c>
    </row>
    <row r="14" spans="2:18" ht="30" x14ac:dyDescent="0.2">
      <c r="C14" s="62" t="s">
        <v>3</v>
      </c>
      <c r="D14" s="64" t="s">
        <v>18</v>
      </c>
      <c r="E14" s="37"/>
      <c r="F14" s="37"/>
      <c r="G14" s="37"/>
      <c r="J14" s="61" t="s">
        <v>2</v>
      </c>
      <c r="K14" s="61" t="s">
        <v>203</v>
      </c>
      <c r="L14" s="61" t="s">
        <v>204</v>
      </c>
      <c r="M14" s="61" t="s">
        <v>19</v>
      </c>
      <c r="N14" s="61" t="s">
        <v>20</v>
      </c>
      <c r="O14" s="184" t="s">
        <v>21</v>
      </c>
      <c r="P14" s="185"/>
      <c r="Q14" s="185"/>
      <c r="R14" s="186"/>
    </row>
    <row r="15" spans="2:18" ht="30" x14ac:dyDescent="0.2">
      <c r="C15" s="62" t="s">
        <v>13</v>
      </c>
      <c r="D15" s="64" t="s">
        <v>22</v>
      </c>
      <c r="E15" s="37"/>
      <c r="F15" s="37"/>
      <c r="G15" s="37"/>
      <c r="J15" s="61" t="s">
        <v>3</v>
      </c>
      <c r="K15" s="120">
        <f>SUM(E14,F14,G14,E19,F19,G19,E27,F27,G27,E24,F24,G24,E35,F35,G35)</f>
        <v>0</v>
      </c>
      <c r="L15" s="120">
        <f>SUM(E47,F47,G47,E52,F52,G52,E60,F60,G60,E57,F57,G57,E68,F68,G68)</f>
        <v>0</v>
      </c>
      <c r="M15" s="121">
        <f>SUM(E78,F78,G78,E83,F83,G83,E91,F91,G91,E88,F88,G88,E99,F99,G99)</f>
        <v>0</v>
      </c>
      <c r="N15" s="121">
        <f>SUM(E108,F108,G108,E113,F113,G113,E118,F118,G118,E121,F121,G121,E129,F129,G129)</f>
        <v>0</v>
      </c>
      <c r="O15" s="74" t="s">
        <v>23</v>
      </c>
      <c r="P15" s="75">
        <v>4</v>
      </c>
      <c r="Q15" s="76" t="s">
        <v>24</v>
      </c>
      <c r="R15" s="77" t="s">
        <v>25</v>
      </c>
    </row>
    <row r="16" spans="2:18" x14ac:dyDescent="0.2">
      <c r="C16" s="62" t="s">
        <v>4</v>
      </c>
      <c r="D16" s="64" t="s">
        <v>26</v>
      </c>
      <c r="E16" s="37"/>
      <c r="F16" s="37"/>
      <c r="G16" s="37"/>
      <c r="J16" s="61" t="s">
        <v>5</v>
      </c>
      <c r="K16" s="120">
        <f>SUM(E17,F17,G17,E22,F22,G22,E25,F25,G25,E30,F30,G30,E34,F34,G34)</f>
        <v>0</v>
      </c>
      <c r="L16" s="120">
        <f>SUM(E50,F50,G50,E55,F55,G55,E58,F58,G58,E63,F63,G63,E67,F67,G67)</f>
        <v>0</v>
      </c>
      <c r="M16" s="121">
        <f>SUM(E81,F81,G81,E86,F86,G86,E89,F89,G89,E94,F94,G94,E98,F98,G98)</f>
        <v>0</v>
      </c>
      <c r="N16" s="121">
        <f>SUM(E111,F111,G111,E116,F116,G116,E119,F119,G119,E124,F124,G124,E128,F128,G128)</f>
        <v>0</v>
      </c>
      <c r="O16" s="74" t="s">
        <v>27</v>
      </c>
      <c r="P16" s="75" t="s">
        <v>28</v>
      </c>
      <c r="Q16" s="76" t="s">
        <v>29</v>
      </c>
      <c r="R16" s="77" t="s">
        <v>30</v>
      </c>
    </row>
    <row r="17" spans="3:18" x14ac:dyDescent="0.2">
      <c r="C17" s="62" t="s">
        <v>5</v>
      </c>
      <c r="D17" s="64" t="s">
        <v>31</v>
      </c>
      <c r="E17" s="37"/>
      <c r="F17" s="37"/>
      <c r="G17" s="37"/>
      <c r="J17" s="61" t="s">
        <v>4</v>
      </c>
      <c r="K17" s="120">
        <f>SUM(E16,F16,G16,E18,F18,G18,E23,F23,G23,E29,F29,G29,E33,F33,G33)</f>
        <v>0</v>
      </c>
      <c r="L17" s="120">
        <f>SUM(E49,F49,G49,E51,F51,G51,E62,F62,G62,E56,F56,G56,E66,F66,G66)</f>
        <v>0</v>
      </c>
      <c r="M17" s="120">
        <f>SUM(E80,F80,G80,E82,F82,G82,E87,F87,G87,E93,F93,G93,E97,F97,G97)</f>
        <v>0</v>
      </c>
      <c r="N17" s="121">
        <f>SUM(E110,F110,G110,E112,F112,G112,E117,F117,G117,E123,F123,G123,E127,F127,G127)</f>
        <v>0</v>
      </c>
      <c r="O17" s="74" t="s">
        <v>27</v>
      </c>
      <c r="P17" s="75" t="s">
        <v>28</v>
      </c>
      <c r="Q17" s="76" t="s">
        <v>32</v>
      </c>
      <c r="R17" s="77" t="s">
        <v>33</v>
      </c>
    </row>
    <row r="18" spans="3:18" x14ac:dyDescent="0.2">
      <c r="C18" s="62" t="s">
        <v>4</v>
      </c>
      <c r="D18" s="70" t="s">
        <v>34</v>
      </c>
      <c r="E18" s="37"/>
      <c r="F18" s="37"/>
      <c r="G18" s="37"/>
      <c r="J18" s="61" t="s">
        <v>15</v>
      </c>
      <c r="K18" s="120">
        <f>SUM(E13,F13,G13,E21,F21,G21,E26,F26,G26,E32,F32,G32,E36,F36,G36)</f>
        <v>0</v>
      </c>
      <c r="L18" s="120">
        <f>SUM(E46,F46,G46,E54,F54,G54,E65,F65,G65,E59,F59,G59,E69,F69,G69)</f>
        <v>0</v>
      </c>
      <c r="M18" s="120">
        <f>SUM(E77,F77,G77,E85,F85,G85,E90,F90,G90,E96,F96,G96,E100,F100,G100)</f>
        <v>0</v>
      </c>
      <c r="N18" s="121">
        <f>SUM(E107,F107,G107,E115,F115,G115,E120,F120,G120,E126,F126,G126,E130,F130,G130)</f>
        <v>0</v>
      </c>
      <c r="O18" s="74" t="s">
        <v>35</v>
      </c>
      <c r="P18" s="75" t="s">
        <v>36</v>
      </c>
      <c r="Q18" s="76" t="s">
        <v>37</v>
      </c>
      <c r="R18" s="77" t="s">
        <v>38</v>
      </c>
    </row>
    <row r="19" spans="3:18" x14ac:dyDescent="0.2">
      <c r="C19" s="62" t="s">
        <v>3</v>
      </c>
      <c r="D19" s="64" t="s">
        <v>39</v>
      </c>
      <c r="E19" s="37"/>
      <c r="F19" s="37"/>
      <c r="G19" s="37"/>
      <c r="J19" s="61" t="s">
        <v>40</v>
      </c>
      <c r="K19" s="120">
        <f>SUM(K15:K18)</f>
        <v>0</v>
      </c>
      <c r="L19" s="120">
        <f>SUM(L15:L18)</f>
        <v>0</v>
      </c>
      <c r="M19" s="120">
        <f>SUM(M15:M18)</f>
        <v>0</v>
      </c>
      <c r="N19" s="121">
        <f>SUM(N15:N18)</f>
        <v>0</v>
      </c>
      <c r="O19" s="74" t="s">
        <v>41</v>
      </c>
      <c r="P19" s="75" t="s">
        <v>42</v>
      </c>
      <c r="Q19" s="76" t="s">
        <v>43</v>
      </c>
      <c r="R19" s="77" t="s">
        <v>44</v>
      </c>
    </row>
    <row r="20" spans="3:18" x14ac:dyDescent="0.2">
      <c r="C20" s="62" t="s">
        <v>13</v>
      </c>
      <c r="D20" s="64" t="s">
        <v>45</v>
      </c>
      <c r="E20" s="37"/>
      <c r="F20" s="37"/>
      <c r="G20" s="37"/>
      <c r="J20" s="61" t="s">
        <v>46</v>
      </c>
      <c r="K20" s="120">
        <f>SUM(K15+K16)</f>
        <v>0</v>
      </c>
      <c r="L20" s="120">
        <f>SUM(L15+L16)</f>
        <v>0</v>
      </c>
      <c r="M20" s="120">
        <f>SUM(M15+M16)</f>
        <v>0</v>
      </c>
      <c r="N20" s="120">
        <f>SUM(N15+N16)</f>
        <v>0</v>
      </c>
      <c r="O20" s="74" t="s">
        <v>23</v>
      </c>
      <c r="P20" s="75" t="s">
        <v>47</v>
      </c>
      <c r="Q20" s="76" t="s">
        <v>48</v>
      </c>
      <c r="R20" s="77" t="s">
        <v>49</v>
      </c>
    </row>
    <row r="21" spans="3:18" x14ac:dyDescent="0.2">
      <c r="C21" s="62" t="s">
        <v>15</v>
      </c>
      <c r="D21" s="64" t="s">
        <v>50</v>
      </c>
      <c r="E21" s="37"/>
      <c r="F21" s="37"/>
      <c r="G21" s="37"/>
      <c r="J21" s="61" t="s">
        <v>51</v>
      </c>
      <c r="K21" s="120">
        <f>SUM(K17+K18)</f>
        <v>0</v>
      </c>
      <c r="L21" s="120">
        <f>SUM(L17+L18)</f>
        <v>0</v>
      </c>
      <c r="M21" s="120">
        <f>SUM(M17+M18)</f>
        <v>0</v>
      </c>
      <c r="N21" s="120">
        <f>SUM(N17+N18)</f>
        <v>0</v>
      </c>
      <c r="O21" s="74" t="s">
        <v>52</v>
      </c>
      <c r="P21" s="75" t="s">
        <v>48</v>
      </c>
      <c r="Q21" s="76" t="s">
        <v>53</v>
      </c>
      <c r="R21" s="77" t="s">
        <v>54</v>
      </c>
    </row>
    <row r="22" spans="3:18" x14ac:dyDescent="0.2">
      <c r="C22" s="62" t="s">
        <v>5</v>
      </c>
      <c r="D22" s="70" t="s">
        <v>55</v>
      </c>
      <c r="E22" s="37"/>
      <c r="F22" s="37"/>
      <c r="G22" s="37"/>
      <c r="J22" s="37" t="s">
        <v>56</v>
      </c>
      <c r="K22" s="37"/>
      <c r="L22" s="37"/>
      <c r="M22" s="71"/>
      <c r="N22" s="71"/>
      <c r="O22" s="74" t="s">
        <v>23</v>
      </c>
      <c r="P22" s="75" t="s">
        <v>29</v>
      </c>
      <c r="Q22" s="76" t="s">
        <v>24</v>
      </c>
      <c r="R22" s="77" t="s">
        <v>25</v>
      </c>
    </row>
    <row r="23" spans="3:18" x14ac:dyDescent="0.2">
      <c r="C23" s="62" t="s">
        <v>4</v>
      </c>
      <c r="D23" s="64" t="s">
        <v>57</v>
      </c>
      <c r="E23" s="37"/>
      <c r="F23" s="37"/>
      <c r="G23" s="37"/>
      <c r="J23" s="61"/>
      <c r="K23" s="62"/>
      <c r="L23" s="62"/>
      <c r="M23" s="62"/>
      <c r="N23" s="62"/>
      <c r="O23" s="72"/>
      <c r="P23" s="72"/>
      <c r="Q23" s="72"/>
      <c r="R23" s="72"/>
    </row>
    <row r="24" spans="3:18" x14ac:dyDescent="0.2">
      <c r="C24" s="62" t="s">
        <v>3</v>
      </c>
      <c r="D24" s="64" t="s">
        <v>58</v>
      </c>
      <c r="E24" s="37"/>
      <c r="F24" s="37"/>
      <c r="G24" s="37"/>
      <c r="J24" s="61" t="s">
        <v>13</v>
      </c>
      <c r="K24" s="120">
        <f>SUM(E12,F12,G12,E15,F15,G15,E20,F20,G20,E28,F28,G28,E31,F31,G31)</f>
        <v>0</v>
      </c>
      <c r="L24" s="120">
        <f>SUM(E45,F45,G45,E48,F48,G48,E53,F53,G53,E61,F61,G61,E64,F64,G64)</f>
        <v>0</v>
      </c>
      <c r="M24" s="121">
        <f>SUM(E76,F76,G76,E79,F79,G79,E84,F84,G84,E92,F92,G92,E95,F95,G95)</f>
        <v>0</v>
      </c>
      <c r="N24" s="121">
        <f>SUM(E106,F106,G106,E109,F109,G109,E114,F114,G114,E122,F122,G122,E125,F125,G125)</f>
        <v>0</v>
      </c>
      <c r="O24" s="74" t="s">
        <v>48</v>
      </c>
      <c r="P24" s="75" t="s">
        <v>59</v>
      </c>
      <c r="Q24" s="76" t="s">
        <v>60</v>
      </c>
      <c r="R24" s="77" t="s">
        <v>35</v>
      </c>
    </row>
    <row r="25" spans="3:18" x14ac:dyDescent="0.2">
      <c r="C25" s="62" t="s">
        <v>5</v>
      </c>
      <c r="D25" s="70" t="s">
        <v>61</v>
      </c>
      <c r="E25" s="37"/>
      <c r="F25" s="37"/>
      <c r="G25" s="37"/>
    </row>
    <row r="26" spans="3:18" x14ac:dyDescent="0.2">
      <c r="C26" s="62" t="s">
        <v>15</v>
      </c>
      <c r="D26" s="64" t="s">
        <v>62</v>
      </c>
      <c r="E26" s="37"/>
      <c r="F26" s="37"/>
      <c r="G26" s="37"/>
    </row>
    <row r="27" spans="3:18" ht="30" x14ac:dyDescent="0.2">
      <c r="C27" s="62" t="s">
        <v>3</v>
      </c>
      <c r="D27" s="64" t="s">
        <v>63</v>
      </c>
      <c r="E27" s="37"/>
      <c r="F27" s="37"/>
      <c r="G27" s="37"/>
    </row>
    <row r="28" spans="3:18" x14ac:dyDescent="0.2">
      <c r="C28" s="62" t="s">
        <v>13</v>
      </c>
      <c r="D28" s="64" t="s">
        <v>64</v>
      </c>
      <c r="E28" s="37"/>
      <c r="F28" s="37"/>
      <c r="G28" s="37"/>
    </row>
    <row r="29" spans="3:18" x14ac:dyDescent="0.2">
      <c r="C29" s="62" t="s">
        <v>4</v>
      </c>
      <c r="D29" s="64" t="s">
        <v>65</v>
      </c>
      <c r="E29" s="37"/>
      <c r="F29" s="37"/>
      <c r="G29" s="37"/>
    </row>
    <row r="30" spans="3:18" x14ac:dyDescent="0.2">
      <c r="C30" s="62" t="s">
        <v>5</v>
      </c>
      <c r="D30" s="64" t="s">
        <v>66</v>
      </c>
      <c r="E30" s="37"/>
      <c r="F30" s="37"/>
      <c r="G30" s="37"/>
    </row>
    <row r="31" spans="3:18" ht="30" x14ac:dyDescent="0.2">
      <c r="C31" s="62" t="s">
        <v>13</v>
      </c>
      <c r="D31" s="64" t="s">
        <v>67</v>
      </c>
      <c r="E31" s="37"/>
      <c r="F31" s="37"/>
      <c r="G31" s="37"/>
    </row>
    <row r="32" spans="3:18" x14ac:dyDescent="0.2">
      <c r="C32" s="62" t="s">
        <v>15</v>
      </c>
      <c r="D32" s="70" t="s">
        <v>68</v>
      </c>
      <c r="E32" s="37"/>
      <c r="F32" s="37"/>
      <c r="G32" s="37"/>
    </row>
    <row r="33" spans="2:17" x14ac:dyDescent="0.2">
      <c r="C33" s="62" t="s">
        <v>4</v>
      </c>
      <c r="D33" s="64" t="s">
        <v>69</v>
      </c>
      <c r="E33" s="37"/>
      <c r="F33" s="37"/>
      <c r="G33" s="37"/>
    </row>
    <row r="34" spans="2:17" x14ac:dyDescent="0.2">
      <c r="C34" s="62" t="s">
        <v>5</v>
      </c>
      <c r="D34" s="64" t="s">
        <v>70</v>
      </c>
      <c r="E34" s="37"/>
      <c r="F34" s="37"/>
      <c r="G34" s="37"/>
    </row>
    <row r="35" spans="2:17" x14ac:dyDescent="0.2">
      <c r="C35" s="62" t="s">
        <v>3</v>
      </c>
      <c r="D35" s="64" t="s">
        <v>71</v>
      </c>
      <c r="E35" s="37"/>
      <c r="F35" s="37"/>
      <c r="G35" s="37"/>
    </row>
    <row r="36" spans="2:17" x14ac:dyDescent="0.2">
      <c r="C36" s="62" t="s">
        <v>15</v>
      </c>
      <c r="D36" s="70" t="s">
        <v>72</v>
      </c>
      <c r="E36" s="37"/>
      <c r="F36" s="37"/>
      <c r="G36" s="95"/>
    </row>
    <row r="40" spans="2:17" ht="16" thickBot="1" x14ac:dyDescent="0.25"/>
    <row r="41" spans="2:17" ht="16" thickBot="1" x14ac:dyDescent="0.25">
      <c r="B41" s="139" t="s">
        <v>201</v>
      </c>
      <c r="C41" s="141"/>
      <c r="D41" s="89"/>
      <c r="E41" s="18" t="s">
        <v>199</v>
      </c>
      <c r="J41" s="24" t="s">
        <v>159</v>
      </c>
    </row>
    <row r="43" spans="2:17" x14ac:dyDescent="0.2">
      <c r="C43" s="61" t="s">
        <v>2</v>
      </c>
      <c r="D43" s="61" t="s">
        <v>7</v>
      </c>
      <c r="E43" s="61" t="s">
        <v>8</v>
      </c>
      <c r="F43" s="61" t="s">
        <v>9</v>
      </c>
      <c r="G43" s="61" t="b">
        <v>1</v>
      </c>
      <c r="J43" s="24" t="s">
        <v>162</v>
      </c>
    </row>
    <row r="44" spans="2:17" ht="16" thickBot="1" x14ac:dyDescent="0.25">
      <c r="C44" s="62"/>
      <c r="D44" s="63" t="s">
        <v>10</v>
      </c>
      <c r="E44" s="33" t="s">
        <v>11</v>
      </c>
      <c r="F44" s="33">
        <v>1</v>
      </c>
      <c r="G44" s="33" t="s">
        <v>12</v>
      </c>
      <c r="J44" s="18" t="s">
        <v>166</v>
      </c>
    </row>
    <row r="45" spans="2:17" x14ac:dyDescent="0.2">
      <c r="C45" s="62" t="s">
        <v>13</v>
      </c>
      <c r="D45" s="64" t="s">
        <v>14</v>
      </c>
      <c r="E45" s="94"/>
      <c r="F45" s="95"/>
      <c r="G45" s="95"/>
      <c r="J45" s="96" t="s">
        <v>202</v>
      </c>
      <c r="K45" s="97" t="str" cm="1">
        <f t="array" ref="K45">_xlfn.LET(
  _xlpm.dataRange, E12:G36,
  _xlpm.rowCounts, _xlfn.BYROW(_xlpm.dataRange, _xlfn.LAMBDA(_xlpm.row, COUNTA(_xlpm.row))),
  _xlpm.valid, AND(_xlpm.rowCounts=1),
  IF(COUNTA(_xlpm.dataRange)=0, "", IF(_xlpm.valid, "Complete", "Incomplete"))
)</f>
        <v/>
      </c>
    </row>
    <row r="46" spans="2:17" x14ac:dyDescent="0.2">
      <c r="C46" s="62" t="s">
        <v>15</v>
      </c>
      <c r="D46" s="64" t="s">
        <v>16</v>
      </c>
      <c r="E46" s="95"/>
      <c r="F46" s="95"/>
      <c r="G46" s="95"/>
      <c r="J46" s="98" t="s">
        <v>191</v>
      </c>
      <c r="K46" s="99" t="str" cm="1">
        <f t="array" ref="K46">_xlfn.LET(
  _xlpm.dataRange, E45:G69,
  _xlpm.rowCounts, _xlfn.BYROW(_xlpm.dataRange, _xlfn.LAMBDA(_xlpm.row, COUNTA(_xlpm.row))),
  _xlpm.valid, AND(_xlpm.rowCounts=1),
  IF(COUNTA(_xlpm.dataRange)=0, "", IF(_xlpm.valid, "Complete", "Incomplete"))
)</f>
        <v/>
      </c>
    </row>
    <row r="47" spans="2:17" ht="30" x14ac:dyDescent="0.2">
      <c r="C47" s="62" t="s">
        <v>3</v>
      </c>
      <c r="D47" s="64" t="s">
        <v>18</v>
      </c>
      <c r="E47" s="95"/>
      <c r="F47" s="95"/>
      <c r="G47" s="95"/>
      <c r="J47" s="98" t="s">
        <v>160</v>
      </c>
      <c r="K47" s="99" t="str" cm="1">
        <f t="array" ref="K47">_xlfn.LET(
  _xlpm.dataRange, E76:G100,
  _xlpm.rowCounts, _xlfn.BYROW(_xlpm.dataRange, _xlfn.LAMBDA(_xlpm.row, COUNTA(_xlpm.row))),
  _xlpm.valid, AND(_xlpm.rowCounts=1),
  IF(COUNTA(_xlpm.dataRange)=0, "", IF(_xlpm.valid, "Complete", "Incomplete"))
)</f>
        <v/>
      </c>
      <c r="N47" s="187"/>
      <c r="O47" s="187"/>
      <c r="P47" s="187"/>
      <c r="Q47" s="73"/>
    </row>
    <row r="48" spans="2:17" ht="31" thickBot="1" x14ac:dyDescent="0.25">
      <c r="C48" s="62" t="s">
        <v>13</v>
      </c>
      <c r="D48" s="64" t="s">
        <v>22</v>
      </c>
      <c r="E48" s="95"/>
      <c r="F48" s="95"/>
      <c r="G48" s="95"/>
      <c r="J48" s="100" t="s">
        <v>161</v>
      </c>
      <c r="K48" s="101" t="str" cm="1">
        <f t="array" ref="K48">_xlfn.LET(
  _xlpm.dataRange, E106:G130,
  _xlpm.rowCounts, _xlfn.BYROW(_xlpm.dataRange, _xlfn.LAMBDA(_xlpm.row, COUNTA(_xlpm.row))),
  _xlpm.valid, AND(_xlpm.rowCounts=1),
  IF(COUNTA(_xlpm.dataRange)=0, "", IF(_xlpm.valid, "Complete", "Incomplete"))
)</f>
        <v/>
      </c>
    </row>
    <row r="49" spans="3:7" x14ac:dyDescent="0.2">
      <c r="C49" s="62" t="s">
        <v>4</v>
      </c>
      <c r="D49" s="64" t="s">
        <v>26</v>
      </c>
      <c r="E49" s="95"/>
      <c r="F49" s="95"/>
      <c r="G49" s="95"/>
    </row>
    <row r="50" spans="3:7" x14ac:dyDescent="0.2">
      <c r="C50" s="62" t="s">
        <v>5</v>
      </c>
      <c r="D50" s="64" t="s">
        <v>31</v>
      </c>
      <c r="E50" s="95"/>
      <c r="F50" s="95"/>
      <c r="G50" s="95"/>
    </row>
    <row r="51" spans="3:7" x14ac:dyDescent="0.2">
      <c r="C51" s="62" t="s">
        <v>4</v>
      </c>
      <c r="D51" s="70" t="s">
        <v>34</v>
      </c>
      <c r="E51" s="95"/>
      <c r="F51" s="95"/>
      <c r="G51" s="95"/>
    </row>
    <row r="52" spans="3:7" x14ac:dyDescent="0.2">
      <c r="C52" s="62" t="s">
        <v>3</v>
      </c>
      <c r="D52" s="64" t="s">
        <v>39</v>
      </c>
      <c r="E52" s="95"/>
      <c r="F52" s="95"/>
      <c r="G52" s="95"/>
    </row>
    <row r="53" spans="3:7" x14ac:dyDescent="0.2">
      <c r="C53" s="62" t="s">
        <v>13</v>
      </c>
      <c r="D53" s="64" t="s">
        <v>45</v>
      </c>
      <c r="E53" s="95"/>
      <c r="F53" s="95"/>
      <c r="G53" s="95"/>
    </row>
    <row r="54" spans="3:7" x14ac:dyDescent="0.2">
      <c r="C54" s="62" t="s">
        <v>15</v>
      </c>
      <c r="D54" s="64" t="s">
        <v>50</v>
      </c>
      <c r="E54" s="95"/>
      <c r="F54" s="95"/>
      <c r="G54" s="95"/>
    </row>
    <row r="55" spans="3:7" x14ac:dyDescent="0.2">
      <c r="C55" s="62" t="s">
        <v>5</v>
      </c>
      <c r="D55" s="70" t="s">
        <v>55</v>
      </c>
      <c r="E55" s="95"/>
      <c r="F55" s="95"/>
      <c r="G55" s="95"/>
    </row>
    <row r="56" spans="3:7" x14ac:dyDescent="0.2">
      <c r="C56" s="62" t="s">
        <v>4</v>
      </c>
      <c r="D56" s="64" t="s">
        <v>57</v>
      </c>
      <c r="E56" s="95"/>
      <c r="F56" s="95"/>
      <c r="G56" s="95"/>
    </row>
    <row r="57" spans="3:7" x14ac:dyDescent="0.2">
      <c r="C57" s="62" t="s">
        <v>3</v>
      </c>
      <c r="D57" s="64" t="s">
        <v>58</v>
      </c>
      <c r="E57" s="95"/>
      <c r="F57" s="95"/>
      <c r="G57" s="95"/>
    </row>
    <row r="58" spans="3:7" x14ac:dyDescent="0.2">
      <c r="C58" s="62" t="s">
        <v>5</v>
      </c>
      <c r="D58" s="70" t="s">
        <v>61</v>
      </c>
      <c r="E58" s="95"/>
      <c r="F58" s="95"/>
      <c r="G58" s="95"/>
    </row>
    <row r="59" spans="3:7" x14ac:dyDescent="0.2">
      <c r="C59" s="62" t="s">
        <v>15</v>
      </c>
      <c r="D59" s="64" t="s">
        <v>62</v>
      </c>
      <c r="E59" s="95"/>
      <c r="F59" s="95"/>
      <c r="G59" s="95"/>
    </row>
    <row r="60" spans="3:7" ht="30" x14ac:dyDescent="0.2">
      <c r="C60" s="62" t="s">
        <v>3</v>
      </c>
      <c r="D60" s="64" t="s">
        <v>63</v>
      </c>
      <c r="E60" s="95"/>
      <c r="F60" s="95"/>
      <c r="G60" s="95"/>
    </row>
    <row r="61" spans="3:7" x14ac:dyDescent="0.2">
      <c r="C61" s="62" t="s">
        <v>13</v>
      </c>
      <c r="D61" s="64" t="s">
        <v>64</v>
      </c>
      <c r="E61" s="95"/>
      <c r="F61" s="95"/>
      <c r="G61" s="95"/>
    </row>
    <row r="62" spans="3:7" x14ac:dyDescent="0.2">
      <c r="C62" s="62" t="s">
        <v>4</v>
      </c>
      <c r="D62" s="64" t="s">
        <v>65</v>
      </c>
      <c r="E62" s="95"/>
      <c r="F62" s="95"/>
      <c r="G62" s="95"/>
    </row>
    <row r="63" spans="3:7" x14ac:dyDescent="0.2">
      <c r="C63" s="62" t="s">
        <v>5</v>
      </c>
      <c r="D63" s="64" t="s">
        <v>66</v>
      </c>
      <c r="E63" s="95"/>
      <c r="F63" s="95"/>
      <c r="G63" s="95"/>
    </row>
    <row r="64" spans="3:7" ht="30" x14ac:dyDescent="0.2">
      <c r="C64" s="62" t="s">
        <v>13</v>
      </c>
      <c r="D64" s="64" t="s">
        <v>67</v>
      </c>
      <c r="E64" s="95"/>
      <c r="F64" s="95"/>
      <c r="G64" s="95"/>
    </row>
    <row r="65" spans="3:17" x14ac:dyDescent="0.2">
      <c r="C65" s="62" t="s">
        <v>15</v>
      </c>
      <c r="D65" s="70" t="s">
        <v>68</v>
      </c>
      <c r="E65" s="95"/>
      <c r="F65" s="95"/>
      <c r="G65" s="95"/>
    </row>
    <row r="66" spans="3:17" x14ac:dyDescent="0.2">
      <c r="C66" s="62" t="s">
        <v>4</v>
      </c>
      <c r="D66" s="64" t="s">
        <v>69</v>
      </c>
      <c r="E66" s="95"/>
      <c r="F66" s="95"/>
      <c r="G66" s="95"/>
    </row>
    <row r="67" spans="3:17" x14ac:dyDescent="0.2">
      <c r="C67" s="62" t="s">
        <v>5</v>
      </c>
      <c r="D67" s="64" t="s">
        <v>70</v>
      </c>
      <c r="E67" s="95"/>
      <c r="F67" s="95"/>
      <c r="G67" s="95"/>
    </row>
    <row r="68" spans="3:17" x14ac:dyDescent="0.2">
      <c r="C68" s="62" t="s">
        <v>3</v>
      </c>
      <c r="D68" s="64" t="s">
        <v>71</v>
      </c>
      <c r="E68" s="95"/>
      <c r="F68" s="95"/>
      <c r="G68" s="95"/>
    </row>
    <row r="69" spans="3:17" x14ac:dyDescent="0.2">
      <c r="C69" s="62" t="s">
        <v>15</v>
      </c>
      <c r="D69" s="70" t="s">
        <v>72</v>
      </c>
      <c r="E69" s="95"/>
      <c r="F69" s="95"/>
      <c r="G69" s="95"/>
    </row>
    <row r="72" spans="3:17" x14ac:dyDescent="0.2">
      <c r="C72" s="24" t="s">
        <v>73</v>
      </c>
    </row>
    <row r="74" spans="3:17" x14ac:dyDescent="0.2">
      <c r="C74" s="61" t="s">
        <v>2</v>
      </c>
      <c r="D74" s="61" t="s">
        <v>7</v>
      </c>
      <c r="E74" s="61" t="s">
        <v>8</v>
      </c>
      <c r="F74" s="61" t="s">
        <v>9</v>
      </c>
      <c r="G74" s="61" t="b">
        <v>1</v>
      </c>
    </row>
    <row r="75" spans="3:17" x14ac:dyDescent="0.2">
      <c r="C75" s="62"/>
      <c r="D75" s="63" t="s">
        <v>10</v>
      </c>
      <c r="E75" s="33" t="s">
        <v>11</v>
      </c>
      <c r="F75" s="33">
        <v>1</v>
      </c>
      <c r="G75" s="33" t="s">
        <v>12</v>
      </c>
    </row>
    <row r="76" spans="3:17" x14ac:dyDescent="0.2">
      <c r="C76" s="62" t="s">
        <v>13</v>
      </c>
      <c r="D76" s="64" t="s">
        <v>14</v>
      </c>
      <c r="E76" s="94"/>
      <c r="F76" s="95"/>
      <c r="G76" s="95"/>
    </row>
    <row r="77" spans="3:17" x14ac:dyDescent="0.2">
      <c r="C77" s="62" t="s">
        <v>15</v>
      </c>
      <c r="D77" s="64" t="s">
        <v>16</v>
      </c>
      <c r="E77" s="95"/>
      <c r="F77" s="95"/>
      <c r="G77" s="95"/>
      <c r="J77" s="24"/>
    </row>
    <row r="78" spans="3:17" ht="30" x14ac:dyDescent="0.2">
      <c r="C78" s="62" t="s">
        <v>3</v>
      </c>
      <c r="D78" s="64" t="s">
        <v>18</v>
      </c>
      <c r="E78" s="95"/>
      <c r="F78" s="95"/>
      <c r="G78" s="95"/>
      <c r="N78" s="187"/>
      <c r="O78" s="187"/>
      <c r="P78" s="187"/>
      <c r="Q78" s="73"/>
    </row>
    <row r="79" spans="3:17" ht="30" x14ac:dyDescent="0.2">
      <c r="C79" s="62" t="s">
        <v>13</v>
      </c>
      <c r="D79" s="64" t="s">
        <v>22</v>
      </c>
      <c r="E79" s="95"/>
      <c r="F79" s="95"/>
      <c r="G79" s="95"/>
    </row>
    <row r="80" spans="3:17" x14ac:dyDescent="0.2">
      <c r="C80" s="62" t="s">
        <v>4</v>
      </c>
      <c r="D80" s="64" t="s">
        <v>26</v>
      </c>
      <c r="E80" s="95"/>
      <c r="F80" s="95"/>
      <c r="G80" s="95"/>
    </row>
    <row r="81" spans="3:7" x14ac:dyDescent="0.2">
      <c r="C81" s="62" t="s">
        <v>5</v>
      </c>
      <c r="D81" s="64" t="s">
        <v>31</v>
      </c>
      <c r="E81" s="95"/>
      <c r="F81" s="95"/>
      <c r="G81" s="95"/>
    </row>
    <row r="82" spans="3:7" x14ac:dyDescent="0.2">
      <c r="C82" s="62" t="s">
        <v>4</v>
      </c>
      <c r="D82" s="70" t="s">
        <v>34</v>
      </c>
      <c r="E82" s="95"/>
      <c r="F82" s="95"/>
      <c r="G82" s="95"/>
    </row>
    <row r="83" spans="3:7" x14ac:dyDescent="0.2">
      <c r="C83" s="62" t="s">
        <v>3</v>
      </c>
      <c r="D83" s="64" t="s">
        <v>39</v>
      </c>
      <c r="E83" s="95"/>
      <c r="F83" s="95"/>
      <c r="G83" s="95"/>
    </row>
    <row r="84" spans="3:7" x14ac:dyDescent="0.2">
      <c r="C84" s="62" t="s">
        <v>13</v>
      </c>
      <c r="D84" s="64" t="s">
        <v>45</v>
      </c>
      <c r="E84" s="95"/>
      <c r="F84" s="95"/>
      <c r="G84" s="95"/>
    </row>
    <row r="85" spans="3:7" x14ac:dyDescent="0.2">
      <c r="C85" s="62" t="s">
        <v>15</v>
      </c>
      <c r="D85" s="64" t="s">
        <v>50</v>
      </c>
      <c r="E85" s="95"/>
      <c r="F85" s="95"/>
      <c r="G85" s="95"/>
    </row>
    <row r="86" spans="3:7" x14ac:dyDescent="0.2">
      <c r="C86" s="62" t="s">
        <v>5</v>
      </c>
      <c r="D86" s="70" t="s">
        <v>55</v>
      </c>
      <c r="E86" s="95"/>
      <c r="F86" s="95"/>
      <c r="G86" s="95"/>
    </row>
    <row r="87" spans="3:7" x14ac:dyDescent="0.2">
      <c r="C87" s="62" t="s">
        <v>4</v>
      </c>
      <c r="D87" s="64" t="s">
        <v>57</v>
      </c>
      <c r="E87" s="95"/>
      <c r="F87" s="95"/>
      <c r="G87" s="95"/>
    </row>
    <row r="88" spans="3:7" x14ac:dyDescent="0.2">
      <c r="C88" s="62" t="s">
        <v>3</v>
      </c>
      <c r="D88" s="64" t="s">
        <v>58</v>
      </c>
      <c r="E88" s="95"/>
      <c r="F88" s="95"/>
      <c r="G88" s="95"/>
    </row>
    <row r="89" spans="3:7" x14ac:dyDescent="0.2">
      <c r="C89" s="62" t="s">
        <v>5</v>
      </c>
      <c r="D89" s="70" t="s">
        <v>61</v>
      </c>
      <c r="E89" s="95"/>
      <c r="F89" s="95"/>
      <c r="G89" s="95"/>
    </row>
    <row r="90" spans="3:7" x14ac:dyDescent="0.2">
      <c r="C90" s="62" t="s">
        <v>15</v>
      </c>
      <c r="D90" s="64" t="s">
        <v>62</v>
      </c>
      <c r="E90" s="95"/>
      <c r="F90" s="95"/>
      <c r="G90" s="95"/>
    </row>
    <row r="91" spans="3:7" ht="30" x14ac:dyDescent="0.2">
      <c r="C91" s="62" t="s">
        <v>3</v>
      </c>
      <c r="D91" s="64" t="s">
        <v>63</v>
      </c>
      <c r="E91" s="95"/>
      <c r="F91" s="95"/>
      <c r="G91" s="95"/>
    </row>
    <row r="92" spans="3:7" x14ac:dyDescent="0.2">
      <c r="C92" s="62" t="s">
        <v>13</v>
      </c>
      <c r="D92" s="64" t="s">
        <v>64</v>
      </c>
      <c r="E92" s="95"/>
      <c r="F92" s="95"/>
      <c r="G92" s="95"/>
    </row>
    <row r="93" spans="3:7" x14ac:dyDescent="0.2">
      <c r="C93" s="62" t="s">
        <v>4</v>
      </c>
      <c r="D93" s="64" t="s">
        <v>65</v>
      </c>
      <c r="E93" s="95"/>
      <c r="F93" s="95"/>
      <c r="G93" s="95"/>
    </row>
    <row r="94" spans="3:7" x14ac:dyDescent="0.2">
      <c r="C94" s="62" t="s">
        <v>5</v>
      </c>
      <c r="D94" s="64" t="s">
        <v>66</v>
      </c>
      <c r="E94" s="95"/>
      <c r="F94" s="95"/>
      <c r="G94" s="95"/>
    </row>
    <row r="95" spans="3:7" ht="30" x14ac:dyDescent="0.2">
      <c r="C95" s="62" t="s">
        <v>13</v>
      </c>
      <c r="D95" s="64" t="s">
        <v>67</v>
      </c>
      <c r="E95" s="95"/>
      <c r="F95" s="95"/>
      <c r="G95" s="95"/>
    </row>
    <row r="96" spans="3:7" x14ac:dyDescent="0.2">
      <c r="C96" s="62" t="s">
        <v>15</v>
      </c>
      <c r="D96" s="70" t="s">
        <v>68</v>
      </c>
      <c r="E96" s="95"/>
      <c r="F96" s="95"/>
      <c r="G96" s="95"/>
    </row>
    <row r="97" spans="3:7" x14ac:dyDescent="0.2">
      <c r="C97" s="62" t="s">
        <v>4</v>
      </c>
      <c r="D97" s="64" t="s">
        <v>69</v>
      </c>
      <c r="E97" s="95"/>
      <c r="F97" s="95"/>
      <c r="G97" s="95"/>
    </row>
    <row r="98" spans="3:7" x14ac:dyDescent="0.2">
      <c r="C98" s="62" t="s">
        <v>5</v>
      </c>
      <c r="D98" s="64" t="s">
        <v>70</v>
      </c>
      <c r="E98" s="95"/>
      <c r="F98" s="95"/>
      <c r="G98" s="95"/>
    </row>
    <row r="99" spans="3:7" x14ac:dyDescent="0.2">
      <c r="C99" s="62" t="s">
        <v>3</v>
      </c>
      <c r="D99" s="64" t="s">
        <v>71</v>
      </c>
      <c r="E99" s="95"/>
      <c r="F99" s="95"/>
      <c r="G99" s="95"/>
    </row>
    <row r="100" spans="3:7" x14ac:dyDescent="0.2">
      <c r="C100" s="62" t="s">
        <v>15</v>
      </c>
      <c r="D100" s="70" t="s">
        <v>72</v>
      </c>
      <c r="E100" s="95"/>
      <c r="F100" s="95"/>
      <c r="G100" s="95"/>
    </row>
    <row r="102" spans="3:7" x14ac:dyDescent="0.2">
      <c r="C102" s="24" t="s">
        <v>74</v>
      </c>
    </row>
    <row r="104" spans="3:7" x14ac:dyDescent="0.2">
      <c r="C104" s="61" t="s">
        <v>2</v>
      </c>
      <c r="D104" s="61" t="s">
        <v>7</v>
      </c>
      <c r="E104" s="61" t="s">
        <v>8</v>
      </c>
      <c r="F104" s="61" t="s">
        <v>9</v>
      </c>
      <c r="G104" s="61" t="b">
        <v>1</v>
      </c>
    </row>
    <row r="105" spans="3:7" x14ac:dyDescent="0.2">
      <c r="C105" s="62"/>
      <c r="D105" s="63" t="s">
        <v>10</v>
      </c>
      <c r="E105" s="33" t="s">
        <v>11</v>
      </c>
      <c r="F105" s="33">
        <v>1</v>
      </c>
      <c r="G105" s="33" t="s">
        <v>12</v>
      </c>
    </row>
    <row r="106" spans="3:7" x14ac:dyDescent="0.2">
      <c r="C106" s="62" t="s">
        <v>13</v>
      </c>
      <c r="D106" s="64" t="s">
        <v>14</v>
      </c>
      <c r="E106" s="94"/>
      <c r="F106" s="95"/>
      <c r="G106" s="95"/>
    </row>
    <row r="107" spans="3:7" x14ac:dyDescent="0.2">
      <c r="C107" s="62" t="s">
        <v>15</v>
      </c>
      <c r="D107" s="64" t="s">
        <v>16</v>
      </c>
      <c r="E107" s="95"/>
      <c r="F107" s="95"/>
      <c r="G107" s="95"/>
    </row>
    <row r="108" spans="3:7" ht="30" x14ac:dyDescent="0.2">
      <c r="C108" s="62" t="s">
        <v>3</v>
      </c>
      <c r="D108" s="64" t="s">
        <v>18</v>
      </c>
      <c r="E108" s="95"/>
      <c r="F108" s="95"/>
      <c r="G108" s="95"/>
    </row>
    <row r="109" spans="3:7" ht="30" x14ac:dyDescent="0.2">
      <c r="C109" s="62" t="s">
        <v>13</v>
      </c>
      <c r="D109" s="64" t="s">
        <v>22</v>
      </c>
      <c r="E109" s="95"/>
      <c r="F109" s="95"/>
      <c r="G109" s="95"/>
    </row>
    <row r="110" spans="3:7" x14ac:dyDescent="0.2">
      <c r="C110" s="62" t="s">
        <v>4</v>
      </c>
      <c r="D110" s="64" t="s">
        <v>26</v>
      </c>
      <c r="E110" s="95"/>
      <c r="F110" s="95"/>
      <c r="G110" s="95"/>
    </row>
    <row r="111" spans="3:7" x14ac:dyDescent="0.2">
      <c r="C111" s="62" t="s">
        <v>5</v>
      </c>
      <c r="D111" s="64" t="s">
        <v>31</v>
      </c>
      <c r="E111" s="95"/>
      <c r="F111" s="95"/>
      <c r="G111" s="95"/>
    </row>
    <row r="112" spans="3:7" x14ac:dyDescent="0.2">
      <c r="C112" s="62" t="s">
        <v>4</v>
      </c>
      <c r="D112" s="70" t="s">
        <v>34</v>
      </c>
      <c r="E112" s="95"/>
      <c r="F112" s="95"/>
      <c r="G112" s="95"/>
    </row>
    <row r="113" spans="3:7" x14ac:dyDescent="0.2">
      <c r="C113" s="62" t="s">
        <v>3</v>
      </c>
      <c r="D113" s="64" t="s">
        <v>39</v>
      </c>
      <c r="E113" s="95"/>
      <c r="F113" s="95"/>
      <c r="G113" s="95"/>
    </row>
    <row r="114" spans="3:7" x14ac:dyDescent="0.2">
      <c r="C114" s="62" t="s">
        <v>13</v>
      </c>
      <c r="D114" s="64" t="s">
        <v>45</v>
      </c>
      <c r="E114" s="95"/>
      <c r="F114" s="95"/>
      <c r="G114" s="95"/>
    </row>
    <row r="115" spans="3:7" x14ac:dyDescent="0.2">
      <c r="C115" s="62" t="s">
        <v>15</v>
      </c>
      <c r="D115" s="64" t="s">
        <v>50</v>
      </c>
      <c r="E115" s="95"/>
      <c r="F115" s="95"/>
      <c r="G115" s="95"/>
    </row>
    <row r="116" spans="3:7" x14ac:dyDescent="0.2">
      <c r="C116" s="62" t="s">
        <v>5</v>
      </c>
      <c r="D116" s="70" t="s">
        <v>55</v>
      </c>
      <c r="E116" s="95"/>
      <c r="F116" s="95"/>
      <c r="G116" s="95"/>
    </row>
    <row r="117" spans="3:7" x14ac:dyDescent="0.2">
      <c r="C117" s="62" t="s">
        <v>4</v>
      </c>
      <c r="D117" s="64" t="s">
        <v>57</v>
      </c>
      <c r="E117" s="95"/>
      <c r="F117" s="95"/>
      <c r="G117" s="95"/>
    </row>
    <row r="118" spans="3:7" x14ac:dyDescent="0.2">
      <c r="C118" s="62" t="s">
        <v>3</v>
      </c>
      <c r="D118" s="64" t="s">
        <v>58</v>
      </c>
      <c r="E118" s="95"/>
      <c r="F118" s="95"/>
      <c r="G118" s="95"/>
    </row>
    <row r="119" spans="3:7" x14ac:dyDescent="0.2">
      <c r="C119" s="62" t="s">
        <v>5</v>
      </c>
      <c r="D119" s="70" t="s">
        <v>61</v>
      </c>
      <c r="E119" s="95"/>
      <c r="F119" s="95"/>
      <c r="G119" s="95"/>
    </row>
    <row r="120" spans="3:7" x14ac:dyDescent="0.2">
      <c r="C120" s="62" t="s">
        <v>15</v>
      </c>
      <c r="D120" s="64" t="s">
        <v>62</v>
      </c>
      <c r="E120" s="95"/>
      <c r="F120" s="95"/>
      <c r="G120" s="95"/>
    </row>
    <row r="121" spans="3:7" ht="30" x14ac:dyDescent="0.2">
      <c r="C121" s="62" t="s">
        <v>3</v>
      </c>
      <c r="D121" s="64" t="s">
        <v>63</v>
      </c>
      <c r="E121" s="95"/>
      <c r="F121" s="95"/>
      <c r="G121" s="95"/>
    </row>
    <row r="122" spans="3:7" x14ac:dyDescent="0.2">
      <c r="C122" s="62" t="s">
        <v>13</v>
      </c>
      <c r="D122" s="64" t="s">
        <v>64</v>
      </c>
      <c r="E122" s="95"/>
      <c r="F122" s="95"/>
      <c r="G122" s="95"/>
    </row>
    <row r="123" spans="3:7" x14ac:dyDescent="0.2">
      <c r="C123" s="62" t="s">
        <v>4</v>
      </c>
      <c r="D123" s="64" t="s">
        <v>65</v>
      </c>
      <c r="E123" s="95"/>
      <c r="F123" s="95"/>
      <c r="G123" s="95"/>
    </row>
    <row r="124" spans="3:7" x14ac:dyDescent="0.2">
      <c r="C124" s="62" t="s">
        <v>5</v>
      </c>
      <c r="D124" s="64" t="s">
        <v>66</v>
      </c>
      <c r="E124" s="95"/>
      <c r="F124" s="95"/>
      <c r="G124" s="95"/>
    </row>
    <row r="125" spans="3:7" ht="30" x14ac:dyDescent="0.2">
      <c r="C125" s="62" t="s">
        <v>13</v>
      </c>
      <c r="D125" s="64" t="s">
        <v>67</v>
      </c>
      <c r="E125" s="95"/>
      <c r="F125" s="95"/>
      <c r="G125" s="95"/>
    </row>
    <row r="126" spans="3:7" x14ac:dyDescent="0.2">
      <c r="C126" s="62" t="s">
        <v>15</v>
      </c>
      <c r="D126" s="70" t="s">
        <v>68</v>
      </c>
      <c r="E126" s="95"/>
      <c r="F126" s="95"/>
      <c r="G126" s="95"/>
    </row>
    <row r="127" spans="3:7" x14ac:dyDescent="0.2">
      <c r="C127" s="62" t="s">
        <v>4</v>
      </c>
      <c r="D127" s="64" t="s">
        <v>69</v>
      </c>
      <c r="E127" s="95"/>
      <c r="F127" s="95"/>
      <c r="G127" s="95"/>
    </row>
    <row r="128" spans="3:7" x14ac:dyDescent="0.2">
      <c r="C128" s="62" t="s">
        <v>5</v>
      </c>
      <c r="D128" s="64" t="s">
        <v>70</v>
      </c>
      <c r="E128" s="95"/>
      <c r="F128" s="95"/>
      <c r="G128" s="95"/>
    </row>
    <row r="129" spans="3:7" x14ac:dyDescent="0.2">
      <c r="C129" s="62" t="s">
        <v>3</v>
      </c>
      <c r="D129" s="64" t="s">
        <v>71</v>
      </c>
      <c r="E129" s="95"/>
      <c r="F129" s="95"/>
      <c r="G129" s="95"/>
    </row>
    <row r="130" spans="3:7" x14ac:dyDescent="0.2">
      <c r="C130" s="62" t="s">
        <v>15</v>
      </c>
      <c r="D130" s="70" t="s">
        <v>72</v>
      </c>
      <c r="E130" s="95"/>
      <c r="F130" s="95"/>
      <c r="G130" s="95"/>
    </row>
  </sheetData>
  <sheetProtection algorithmName="SHA-512" hashValue="56ZMewcGlCjL4NH17l/xPyNi0k0WU8F6ksYzInAk8R0GGiIIVED8uJa9XdidYD8j5R/tNcdDGeGOdiznIzwdeg==" saltValue="gzp3XT3eXXvv8qdcWq7ST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AB7F0C2-36B8-4BD2-91A6-1481C9146B5A}">
      <formula1>45170</formula1>
      <formula2>49552</formula2>
    </dataValidation>
  </dataValidations>
  <pageMargins left="0.7" right="0.7" top="0.75" bottom="0.75" header="0.3" footer="0.3"/>
  <pageSetup scale="43" fitToHeight="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D393-EF61-40ED-91A3-1391F7CFD0FC}">
  <sheetPr>
    <pageSetUpPr fitToPage="1"/>
  </sheetPr>
  <dimension ref="B2:R130"/>
  <sheetViews>
    <sheetView showGridLines="0" topLeftCell="C12" workbookViewId="0">
      <selection activeCell="E12" sqref="E12"/>
    </sheetView>
  </sheetViews>
  <sheetFormatPr baseColWidth="10" defaultColWidth="9.1640625" defaultRowHeight="15" x14ac:dyDescent="0.2"/>
  <cols>
    <col min="1" max="1" width="9.1640625" style="18"/>
    <col min="2" max="2" width="7.33203125" style="18" customWidth="1"/>
    <col min="3" max="3" width="27.83203125" style="18" bestFit="1" customWidth="1"/>
    <col min="4" max="4" width="45.6640625" style="18" customWidth="1"/>
    <col min="5" max="5" width="13.33203125" style="18" customWidth="1"/>
    <col min="6" max="6" width="13" style="18" customWidth="1"/>
    <col min="7" max="7" width="13.5" style="18" customWidth="1"/>
    <col min="8" max="9" width="9.1640625" style="18"/>
    <col min="10" max="11" width="21.6640625" style="18" customWidth="1"/>
    <col min="12" max="12" width="17.1640625" style="18" customWidth="1"/>
    <col min="13" max="13" width="16.1640625" style="18" customWidth="1"/>
    <col min="14" max="14" width="14.5" style="18" customWidth="1"/>
    <col min="15" max="15" width="13.1640625" style="18" customWidth="1"/>
    <col min="16" max="17" width="13.5" style="18" customWidth="1"/>
    <col min="18" max="16384" width="9.1640625" style="18"/>
  </cols>
  <sheetData>
    <row r="2" spans="2:18" x14ac:dyDescent="0.2">
      <c r="C2" s="24" t="s">
        <v>126</v>
      </c>
      <c r="D2" s="18" t="s">
        <v>163</v>
      </c>
    </row>
    <row r="3" spans="2:18" x14ac:dyDescent="0.2">
      <c r="C3" s="24"/>
      <c r="D3" s="18" t="s">
        <v>164</v>
      </c>
    </row>
    <row r="4" spans="2:18" x14ac:dyDescent="0.2">
      <c r="C4" s="24"/>
      <c r="D4" s="18" t="s">
        <v>165</v>
      </c>
    </row>
    <row r="5" spans="2:18" ht="16" thickBot="1" x14ac:dyDescent="0.25"/>
    <row r="6" spans="2:18" ht="16" thickBot="1" x14ac:dyDescent="0.25">
      <c r="C6" s="24" t="s">
        <v>104</v>
      </c>
      <c r="D6" s="27"/>
    </row>
    <row r="7" spans="2:18" ht="16" thickBot="1" x14ac:dyDescent="0.25"/>
    <row r="8" spans="2:18" ht="16" thickBot="1" x14ac:dyDescent="0.25">
      <c r="B8" s="139" t="s">
        <v>200</v>
      </c>
      <c r="C8" s="139"/>
      <c r="D8" s="89"/>
      <c r="E8" s="18" t="s">
        <v>199</v>
      </c>
    </row>
    <row r="10" spans="2:18" x14ac:dyDescent="0.2">
      <c r="C10" s="61" t="s">
        <v>2</v>
      </c>
      <c r="D10" s="61" t="s">
        <v>7</v>
      </c>
      <c r="E10" s="61" t="s">
        <v>8</v>
      </c>
      <c r="F10" s="61" t="s">
        <v>9</v>
      </c>
      <c r="G10" s="61" t="b">
        <v>1</v>
      </c>
    </row>
    <row r="11" spans="2:18" x14ac:dyDescent="0.2">
      <c r="C11" s="62"/>
      <c r="D11" s="63" t="s">
        <v>10</v>
      </c>
      <c r="E11" s="33" t="s">
        <v>11</v>
      </c>
      <c r="F11" s="33">
        <v>1</v>
      </c>
      <c r="G11" s="33" t="s">
        <v>12</v>
      </c>
      <c r="J11" s="18" t="s">
        <v>184</v>
      </c>
    </row>
    <row r="12" spans="2:18" x14ac:dyDescent="0.2">
      <c r="C12" s="62" t="s">
        <v>13</v>
      </c>
      <c r="D12" s="64" t="s">
        <v>14</v>
      </c>
      <c r="E12" s="94"/>
      <c r="F12" s="95"/>
      <c r="G12" s="95"/>
    </row>
    <row r="13" spans="2:18" x14ac:dyDescent="0.2">
      <c r="C13" s="62" t="s">
        <v>15</v>
      </c>
      <c r="D13" s="64" t="s">
        <v>16</v>
      </c>
      <c r="E13" s="95"/>
      <c r="F13" s="95"/>
      <c r="G13" s="95"/>
      <c r="J13" s="24" t="s">
        <v>17</v>
      </c>
    </row>
    <row r="14" spans="2:18" ht="30" x14ac:dyDescent="0.2">
      <c r="C14" s="62" t="s">
        <v>3</v>
      </c>
      <c r="D14" s="64" t="s">
        <v>18</v>
      </c>
      <c r="E14" s="95"/>
      <c r="F14" s="95"/>
      <c r="G14" s="95"/>
      <c r="J14" s="61" t="s">
        <v>2</v>
      </c>
      <c r="K14" s="61" t="s">
        <v>203</v>
      </c>
      <c r="L14" s="61" t="s">
        <v>204</v>
      </c>
      <c r="M14" s="61" t="s">
        <v>19</v>
      </c>
      <c r="N14" s="61" t="s">
        <v>20</v>
      </c>
      <c r="O14" s="184" t="s">
        <v>21</v>
      </c>
      <c r="P14" s="185"/>
      <c r="Q14" s="185"/>
      <c r="R14" s="186"/>
    </row>
    <row r="15" spans="2:18" ht="30" x14ac:dyDescent="0.2">
      <c r="C15" s="62" t="s">
        <v>13</v>
      </c>
      <c r="D15" s="64" t="s">
        <v>22</v>
      </c>
      <c r="E15" s="95"/>
      <c r="F15" s="95"/>
      <c r="G15" s="95"/>
      <c r="J15" s="61" t="s">
        <v>3</v>
      </c>
      <c r="K15" s="120">
        <f>SUM(E14,F14,G14,E19,F19,G19,E27,F27,G27,E24,F24,G24,E35,F35,G35)</f>
        <v>0</v>
      </c>
      <c r="L15" s="120">
        <f>SUM(E47,F47,G47,E52,F52,G52,E60,F60,G60,E57,F57,G57,E68,F68,G68)</f>
        <v>0</v>
      </c>
      <c r="M15" s="121">
        <f>SUM(E78,F78,G78,E83,F83,G83,E91,F91,G91,E88,F88,G88,E99,F99,G99)</f>
        <v>0</v>
      </c>
      <c r="N15" s="121">
        <f>SUM(E108,F108,G108,E113,F113,G113,E118,F118,G118,E121,F121,G121,E129,F129,G129)</f>
        <v>0</v>
      </c>
      <c r="O15" s="74" t="s">
        <v>23</v>
      </c>
      <c r="P15" s="75">
        <v>4</v>
      </c>
      <c r="Q15" s="76" t="s">
        <v>24</v>
      </c>
      <c r="R15" s="77" t="s">
        <v>25</v>
      </c>
    </row>
    <row r="16" spans="2:18" x14ac:dyDescent="0.2">
      <c r="C16" s="62" t="s">
        <v>4</v>
      </c>
      <c r="D16" s="64" t="s">
        <v>26</v>
      </c>
      <c r="E16" s="95"/>
      <c r="F16" s="95"/>
      <c r="G16" s="95"/>
      <c r="J16" s="61" t="s">
        <v>5</v>
      </c>
      <c r="K16" s="120">
        <f>SUM(E17,F17,G17,E22,F22,G22,E25,F25,G25,E30,F30,G30,E34,F34,G34)</f>
        <v>0</v>
      </c>
      <c r="L16" s="120">
        <f>SUM(E50,F50,G50,E55,F55,G55,E58,F58,G58,E63,F63,G63,E67,F67,G67)</f>
        <v>0</v>
      </c>
      <c r="M16" s="121">
        <f>SUM(E81,F81,G81,E86,F86,G86,E89,F89,G89,E94,F94,G94,E98,F98,G98)</f>
        <v>0</v>
      </c>
      <c r="N16" s="121">
        <f>SUM(E111,F111,G111,E116,F116,G116,E119,F119,G119,E124,F124,G124,E128,F128,G128)</f>
        <v>0</v>
      </c>
      <c r="O16" s="74" t="s">
        <v>27</v>
      </c>
      <c r="P16" s="75" t="s">
        <v>28</v>
      </c>
      <c r="Q16" s="76" t="s">
        <v>29</v>
      </c>
      <c r="R16" s="77" t="s">
        <v>30</v>
      </c>
    </row>
    <row r="17" spans="3:18" x14ac:dyDescent="0.2">
      <c r="C17" s="62" t="s">
        <v>5</v>
      </c>
      <c r="D17" s="64" t="s">
        <v>31</v>
      </c>
      <c r="E17" s="95"/>
      <c r="F17" s="95"/>
      <c r="G17" s="95"/>
      <c r="J17" s="61" t="s">
        <v>4</v>
      </c>
      <c r="K17" s="120">
        <f>SUM(E16,F16,G16,E18,F18,G18,E23,F23,G23,E29,F29,G29,E33,F33,G33)</f>
        <v>0</v>
      </c>
      <c r="L17" s="120">
        <f>SUM(E49,F49,G49,E51,F51,G51,E62,F62,G62,E56,F56,G56,E66,F66,G66)</f>
        <v>0</v>
      </c>
      <c r="M17" s="120">
        <f>SUM(E80,F80,G80,E82,F82,G82,E87,F87,G87,E93,F93,G93,E97,F97,G97)</f>
        <v>0</v>
      </c>
      <c r="N17" s="121">
        <f>SUM(E110,F110,G110,E112,F112,G112,E117,F117,G117,E123,F123,G123,E127,F127,G127)</f>
        <v>0</v>
      </c>
      <c r="O17" s="74" t="s">
        <v>27</v>
      </c>
      <c r="P17" s="75" t="s">
        <v>28</v>
      </c>
      <c r="Q17" s="76" t="s">
        <v>32</v>
      </c>
      <c r="R17" s="77" t="s">
        <v>33</v>
      </c>
    </row>
    <row r="18" spans="3:18" x14ac:dyDescent="0.2">
      <c r="C18" s="62" t="s">
        <v>4</v>
      </c>
      <c r="D18" s="70" t="s">
        <v>34</v>
      </c>
      <c r="E18" s="95"/>
      <c r="F18" s="95"/>
      <c r="G18" s="95"/>
      <c r="J18" s="61" t="s">
        <v>15</v>
      </c>
      <c r="K18" s="120">
        <f>SUM(E13,F13,G13,E21,F21,G21,E26,F26,G26,E32,F32,G32,E36,F36,G36)</f>
        <v>0</v>
      </c>
      <c r="L18" s="120">
        <f>SUM(E46,F46,G46,E54,F54,G54,E65,F65,G65,E59,F59,G59,E69,F69,G69)</f>
        <v>0</v>
      </c>
      <c r="M18" s="120">
        <f>SUM(E77,F77,G77,E85,F85,G85,E90,F90,G90,E96,F96,G96,E100,F100,G100)</f>
        <v>0</v>
      </c>
      <c r="N18" s="121">
        <f>SUM(E107,F107,G107,E115,F115,G115,E120,F120,G120,E126,F126,G126,E130,F130,G130)</f>
        <v>0</v>
      </c>
      <c r="O18" s="74" t="s">
        <v>35</v>
      </c>
      <c r="P18" s="75" t="s">
        <v>36</v>
      </c>
      <c r="Q18" s="76" t="s">
        <v>37</v>
      </c>
      <c r="R18" s="77" t="s">
        <v>38</v>
      </c>
    </row>
    <row r="19" spans="3:18" x14ac:dyDescent="0.2">
      <c r="C19" s="62" t="s">
        <v>3</v>
      </c>
      <c r="D19" s="64" t="s">
        <v>39</v>
      </c>
      <c r="E19" s="95"/>
      <c r="F19" s="95"/>
      <c r="G19" s="95"/>
      <c r="J19" s="61" t="s">
        <v>40</v>
      </c>
      <c r="K19" s="120">
        <f>SUM(K15:K18)</f>
        <v>0</v>
      </c>
      <c r="L19" s="120">
        <f>SUM(L15:L18)</f>
        <v>0</v>
      </c>
      <c r="M19" s="120">
        <f>SUM(M15:M18)</f>
        <v>0</v>
      </c>
      <c r="N19" s="121">
        <f>SUM(N15:N18)</f>
        <v>0</v>
      </c>
      <c r="O19" s="74" t="s">
        <v>41</v>
      </c>
      <c r="P19" s="75" t="s">
        <v>42</v>
      </c>
      <c r="Q19" s="76" t="s">
        <v>43</v>
      </c>
      <c r="R19" s="77" t="s">
        <v>44</v>
      </c>
    </row>
    <row r="20" spans="3:18" x14ac:dyDescent="0.2">
      <c r="C20" s="62" t="s">
        <v>13</v>
      </c>
      <c r="D20" s="64" t="s">
        <v>45</v>
      </c>
      <c r="E20" s="95"/>
      <c r="F20" s="95"/>
      <c r="G20" s="95"/>
      <c r="J20" s="61" t="s">
        <v>46</v>
      </c>
      <c r="K20" s="120">
        <f>SUM(K15+K16)</f>
        <v>0</v>
      </c>
      <c r="L20" s="120">
        <f>SUM(L15+L16)</f>
        <v>0</v>
      </c>
      <c r="M20" s="120">
        <f>SUM(M15+M16)</f>
        <v>0</v>
      </c>
      <c r="N20" s="120">
        <f>SUM(N15+N16)</f>
        <v>0</v>
      </c>
      <c r="O20" s="74" t="s">
        <v>23</v>
      </c>
      <c r="P20" s="75" t="s">
        <v>47</v>
      </c>
      <c r="Q20" s="76" t="s">
        <v>48</v>
      </c>
      <c r="R20" s="77" t="s">
        <v>49</v>
      </c>
    </row>
    <row r="21" spans="3:18" x14ac:dyDescent="0.2">
      <c r="C21" s="62" t="s">
        <v>15</v>
      </c>
      <c r="D21" s="64" t="s">
        <v>50</v>
      </c>
      <c r="E21" s="95"/>
      <c r="F21" s="95"/>
      <c r="G21" s="95"/>
      <c r="J21" s="61" t="s">
        <v>51</v>
      </c>
      <c r="K21" s="120">
        <f>SUM(K17+K18)</f>
        <v>0</v>
      </c>
      <c r="L21" s="120">
        <f>SUM(L17+L18)</f>
        <v>0</v>
      </c>
      <c r="M21" s="120">
        <f>SUM(M17+M18)</f>
        <v>0</v>
      </c>
      <c r="N21" s="120">
        <f>SUM(N17+N18)</f>
        <v>0</v>
      </c>
      <c r="O21" s="74" t="s">
        <v>52</v>
      </c>
      <c r="P21" s="75" t="s">
        <v>48</v>
      </c>
      <c r="Q21" s="76" t="s">
        <v>53</v>
      </c>
      <c r="R21" s="77" t="s">
        <v>54</v>
      </c>
    </row>
    <row r="22" spans="3:18" x14ac:dyDescent="0.2">
      <c r="C22" s="62" t="s">
        <v>5</v>
      </c>
      <c r="D22" s="70" t="s">
        <v>55</v>
      </c>
      <c r="E22" s="95"/>
      <c r="F22" s="95"/>
      <c r="G22" s="95"/>
      <c r="J22" s="37" t="s">
        <v>56</v>
      </c>
      <c r="K22" s="37"/>
      <c r="L22" s="37"/>
      <c r="M22" s="71"/>
      <c r="N22" s="71"/>
      <c r="O22" s="74" t="s">
        <v>23</v>
      </c>
      <c r="P22" s="75" t="s">
        <v>29</v>
      </c>
      <c r="Q22" s="76" t="s">
        <v>24</v>
      </c>
      <c r="R22" s="77" t="s">
        <v>25</v>
      </c>
    </row>
    <row r="23" spans="3:18" x14ac:dyDescent="0.2">
      <c r="C23" s="62" t="s">
        <v>4</v>
      </c>
      <c r="D23" s="64" t="s">
        <v>57</v>
      </c>
      <c r="E23" s="95"/>
      <c r="F23" s="95"/>
      <c r="G23" s="95"/>
      <c r="J23" s="61"/>
      <c r="K23" s="62"/>
      <c r="L23" s="62"/>
      <c r="M23" s="62"/>
      <c r="N23" s="62"/>
      <c r="O23" s="72"/>
      <c r="P23" s="72"/>
      <c r="Q23" s="72"/>
      <c r="R23" s="72"/>
    </row>
    <row r="24" spans="3:18" x14ac:dyDescent="0.2">
      <c r="C24" s="62" t="s">
        <v>3</v>
      </c>
      <c r="D24" s="64" t="s">
        <v>58</v>
      </c>
      <c r="E24" s="95"/>
      <c r="F24" s="95"/>
      <c r="G24" s="95"/>
      <c r="J24" s="61" t="s">
        <v>13</v>
      </c>
      <c r="K24" s="120">
        <f>SUM(E12,F12,G12,E15,F15,G15,E20,F20,G20,E28,F28,G28,E31,F31,G31)</f>
        <v>0</v>
      </c>
      <c r="L24" s="120">
        <f>SUM(E45,F45,G45,E48,F48,G48,E53,F53,G53,E61,F61,G61,E64,F64,G64)</f>
        <v>0</v>
      </c>
      <c r="M24" s="121">
        <f>SUM(E76,F76,G76,E79,F79,G79,E84,F84,G84,E92,F92,G92,E95,F95,G95)</f>
        <v>0</v>
      </c>
      <c r="N24" s="121">
        <f>SUM(E106,F106,G106,E109,F109,G109,E114,F114,G114,E122,F122,G122,E125,F125,G125)</f>
        <v>0</v>
      </c>
      <c r="O24" s="74" t="s">
        <v>48</v>
      </c>
      <c r="P24" s="75" t="s">
        <v>59</v>
      </c>
      <c r="Q24" s="76" t="s">
        <v>60</v>
      </c>
      <c r="R24" s="77" t="s">
        <v>35</v>
      </c>
    </row>
    <row r="25" spans="3:18" x14ac:dyDescent="0.2">
      <c r="C25" s="62" t="s">
        <v>5</v>
      </c>
      <c r="D25" s="70" t="s">
        <v>61</v>
      </c>
      <c r="E25" s="95"/>
      <c r="F25" s="95"/>
      <c r="G25" s="95"/>
    </row>
    <row r="26" spans="3:18" x14ac:dyDescent="0.2">
      <c r="C26" s="62" t="s">
        <v>15</v>
      </c>
      <c r="D26" s="64" t="s">
        <v>62</v>
      </c>
      <c r="E26" s="95"/>
      <c r="F26" s="95"/>
      <c r="G26" s="95"/>
    </row>
    <row r="27" spans="3:18" ht="30" x14ac:dyDescent="0.2">
      <c r="C27" s="62" t="s">
        <v>3</v>
      </c>
      <c r="D27" s="64" t="s">
        <v>63</v>
      </c>
      <c r="E27" s="95"/>
      <c r="F27" s="95"/>
      <c r="G27" s="95"/>
    </row>
    <row r="28" spans="3:18" x14ac:dyDescent="0.2">
      <c r="C28" s="62" t="s">
        <v>13</v>
      </c>
      <c r="D28" s="64" t="s">
        <v>64</v>
      </c>
      <c r="E28" s="95"/>
      <c r="F28" s="95"/>
      <c r="G28" s="95"/>
    </row>
    <row r="29" spans="3:18" x14ac:dyDescent="0.2">
      <c r="C29" s="62" t="s">
        <v>4</v>
      </c>
      <c r="D29" s="64" t="s">
        <v>65</v>
      </c>
      <c r="E29" s="95"/>
      <c r="F29" s="95"/>
      <c r="G29" s="95"/>
    </row>
    <row r="30" spans="3:18" x14ac:dyDescent="0.2">
      <c r="C30" s="62" t="s">
        <v>5</v>
      </c>
      <c r="D30" s="64" t="s">
        <v>66</v>
      </c>
      <c r="E30" s="95"/>
      <c r="F30" s="95"/>
      <c r="G30" s="95"/>
    </row>
    <row r="31" spans="3:18" ht="30" x14ac:dyDescent="0.2">
      <c r="C31" s="62" t="s">
        <v>13</v>
      </c>
      <c r="D31" s="64" t="s">
        <v>67</v>
      </c>
      <c r="E31" s="95"/>
      <c r="F31" s="95"/>
      <c r="G31" s="95"/>
    </row>
    <row r="32" spans="3:18" x14ac:dyDescent="0.2">
      <c r="C32" s="62" t="s">
        <v>15</v>
      </c>
      <c r="D32" s="70" t="s">
        <v>68</v>
      </c>
      <c r="E32" s="95"/>
      <c r="F32" s="95"/>
      <c r="G32" s="95"/>
    </row>
    <row r="33" spans="2:17" x14ac:dyDescent="0.2">
      <c r="C33" s="62" t="s">
        <v>4</v>
      </c>
      <c r="D33" s="64" t="s">
        <v>69</v>
      </c>
      <c r="E33" s="95"/>
      <c r="F33" s="95"/>
      <c r="G33" s="95"/>
    </row>
    <row r="34" spans="2:17" x14ac:dyDescent="0.2">
      <c r="C34" s="62" t="s">
        <v>5</v>
      </c>
      <c r="D34" s="64" t="s">
        <v>70</v>
      </c>
      <c r="E34" s="95"/>
      <c r="F34" s="95"/>
      <c r="G34" s="95"/>
    </row>
    <row r="35" spans="2:17" x14ac:dyDescent="0.2">
      <c r="C35" s="62" t="s">
        <v>3</v>
      </c>
      <c r="D35" s="64" t="s">
        <v>71</v>
      </c>
      <c r="E35" s="95"/>
      <c r="F35" s="95"/>
      <c r="G35" s="95"/>
    </row>
    <row r="36" spans="2:17" x14ac:dyDescent="0.2">
      <c r="C36" s="62" t="s">
        <v>15</v>
      </c>
      <c r="D36" s="70" t="s">
        <v>72</v>
      </c>
      <c r="E36" s="95"/>
      <c r="F36" s="95"/>
      <c r="G36" s="95"/>
    </row>
    <row r="40" spans="2:17" ht="16" thickBot="1" x14ac:dyDescent="0.25"/>
    <row r="41" spans="2:17" ht="16" thickBot="1" x14ac:dyDescent="0.25">
      <c r="B41" s="139" t="s">
        <v>201</v>
      </c>
      <c r="C41" s="141"/>
      <c r="D41" s="89"/>
      <c r="E41" s="18" t="s">
        <v>199</v>
      </c>
      <c r="J41" s="24" t="s">
        <v>159</v>
      </c>
    </row>
    <row r="43" spans="2:17" x14ac:dyDescent="0.2">
      <c r="C43" s="61" t="s">
        <v>2</v>
      </c>
      <c r="D43" s="61" t="s">
        <v>7</v>
      </c>
      <c r="E43" s="61" t="s">
        <v>8</v>
      </c>
      <c r="F43" s="61" t="s">
        <v>9</v>
      </c>
      <c r="G43" s="61" t="b">
        <v>1</v>
      </c>
      <c r="J43" s="24" t="s">
        <v>162</v>
      </c>
    </row>
    <row r="44" spans="2:17" ht="16" thickBot="1" x14ac:dyDescent="0.25">
      <c r="C44" s="62"/>
      <c r="D44" s="63" t="s">
        <v>10</v>
      </c>
      <c r="E44" s="33" t="s">
        <v>11</v>
      </c>
      <c r="F44" s="33">
        <v>1</v>
      </c>
      <c r="G44" s="33" t="s">
        <v>12</v>
      </c>
      <c r="J44" s="18" t="s">
        <v>166</v>
      </c>
    </row>
    <row r="45" spans="2:17" x14ac:dyDescent="0.2">
      <c r="C45" s="62" t="s">
        <v>13</v>
      </c>
      <c r="D45" s="64" t="s">
        <v>14</v>
      </c>
      <c r="E45" s="94"/>
      <c r="F45" s="95"/>
      <c r="G45" s="95"/>
      <c r="J45" s="96" t="s">
        <v>202</v>
      </c>
      <c r="K45" s="97" t="str" cm="1">
        <f t="array" ref="K45">_xlfn.LET(
  _xlpm.dataRange, E12:G36,
  _xlpm.rowCounts, _xlfn.BYROW(_xlpm.dataRange, _xlfn.LAMBDA(_xlpm.row, COUNTA(_xlpm.row))),
  _xlpm.valid, AND(_xlpm.rowCounts=1),
  IF(COUNTA(_xlpm.dataRange)=0, "", IF(_xlpm.valid, "Complete", "Incomplete"))
)</f>
        <v/>
      </c>
    </row>
    <row r="46" spans="2:17" x14ac:dyDescent="0.2">
      <c r="C46" s="62" t="s">
        <v>15</v>
      </c>
      <c r="D46" s="64" t="s">
        <v>16</v>
      </c>
      <c r="E46" s="95"/>
      <c r="F46" s="95"/>
      <c r="G46" s="95"/>
      <c r="J46" s="98" t="s">
        <v>191</v>
      </c>
      <c r="K46" s="99" t="str" cm="1">
        <f t="array" ref="K46">_xlfn.LET(
  _xlpm.dataRange, E45:G69,
  _xlpm.rowCounts, _xlfn.BYROW(_xlpm.dataRange, _xlfn.LAMBDA(_xlpm.row, COUNTA(_xlpm.row))),
  _xlpm.valid, AND(_xlpm.rowCounts=1),
  IF(COUNTA(_xlpm.dataRange)=0, "", IF(_xlpm.valid, "Complete", "Incomplete"))
)</f>
        <v/>
      </c>
    </row>
    <row r="47" spans="2:17" ht="30" x14ac:dyDescent="0.2">
      <c r="C47" s="62" t="s">
        <v>3</v>
      </c>
      <c r="D47" s="64" t="s">
        <v>18</v>
      </c>
      <c r="E47" s="95"/>
      <c r="F47" s="95"/>
      <c r="G47" s="95"/>
      <c r="J47" s="98" t="s">
        <v>160</v>
      </c>
      <c r="K47" s="99" t="str" cm="1">
        <f t="array" ref="K47">_xlfn.LET(
  _xlpm.dataRange, E76:G100,
  _xlpm.rowCounts, _xlfn.BYROW(_xlpm.dataRange, _xlfn.LAMBDA(_xlpm.row, COUNTA(_xlpm.row))),
  _xlpm.valid, AND(_xlpm.rowCounts=1),
  IF(COUNTA(_xlpm.dataRange)=0, "", IF(_xlpm.valid, "Complete", "Incomplete"))
)</f>
        <v/>
      </c>
      <c r="N47" s="187"/>
      <c r="O47" s="187"/>
      <c r="P47" s="187"/>
      <c r="Q47" s="73"/>
    </row>
    <row r="48" spans="2:17" ht="31" thickBot="1" x14ac:dyDescent="0.25">
      <c r="C48" s="62" t="s">
        <v>13</v>
      </c>
      <c r="D48" s="64" t="s">
        <v>22</v>
      </c>
      <c r="E48" s="95"/>
      <c r="F48" s="95"/>
      <c r="G48" s="95"/>
      <c r="J48" s="100" t="s">
        <v>161</v>
      </c>
      <c r="K48" s="101" t="str" cm="1">
        <f t="array" ref="K48">_xlfn.LET(
  _xlpm.dataRange, E106:G130,
  _xlpm.rowCounts, _xlfn.BYROW(_xlpm.dataRange, _xlfn.LAMBDA(_xlpm.row, COUNTA(_xlpm.row))),
  _xlpm.valid, AND(_xlpm.rowCounts=1),
  IF(COUNTA(_xlpm.dataRange)=0, "", IF(_xlpm.valid, "Complete", "Incomplete"))
)</f>
        <v/>
      </c>
    </row>
    <row r="49" spans="3:7" x14ac:dyDescent="0.2">
      <c r="C49" s="62" t="s">
        <v>4</v>
      </c>
      <c r="D49" s="64" t="s">
        <v>26</v>
      </c>
      <c r="E49" s="95"/>
      <c r="F49" s="95"/>
      <c r="G49" s="95"/>
    </row>
    <row r="50" spans="3:7" x14ac:dyDescent="0.2">
      <c r="C50" s="62" t="s">
        <v>5</v>
      </c>
      <c r="D50" s="64" t="s">
        <v>31</v>
      </c>
      <c r="E50" s="95"/>
      <c r="F50" s="95"/>
      <c r="G50" s="95"/>
    </row>
    <row r="51" spans="3:7" x14ac:dyDescent="0.2">
      <c r="C51" s="62" t="s">
        <v>4</v>
      </c>
      <c r="D51" s="70" t="s">
        <v>34</v>
      </c>
      <c r="E51" s="95"/>
      <c r="F51" s="95"/>
      <c r="G51" s="95"/>
    </row>
    <row r="52" spans="3:7" x14ac:dyDescent="0.2">
      <c r="C52" s="62" t="s">
        <v>3</v>
      </c>
      <c r="D52" s="64" t="s">
        <v>39</v>
      </c>
      <c r="E52" s="95"/>
      <c r="F52" s="95"/>
      <c r="G52" s="95"/>
    </row>
    <row r="53" spans="3:7" x14ac:dyDescent="0.2">
      <c r="C53" s="62" t="s">
        <v>13</v>
      </c>
      <c r="D53" s="64" t="s">
        <v>45</v>
      </c>
      <c r="E53" s="95"/>
      <c r="F53" s="95"/>
      <c r="G53" s="95"/>
    </row>
    <row r="54" spans="3:7" x14ac:dyDescent="0.2">
      <c r="C54" s="62" t="s">
        <v>15</v>
      </c>
      <c r="D54" s="64" t="s">
        <v>50</v>
      </c>
      <c r="E54" s="95"/>
      <c r="F54" s="95"/>
      <c r="G54" s="95"/>
    </row>
    <row r="55" spans="3:7" x14ac:dyDescent="0.2">
      <c r="C55" s="62" t="s">
        <v>5</v>
      </c>
      <c r="D55" s="70" t="s">
        <v>55</v>
      </c>
      <c r="E55" s="95"/>
      <c r="F55" s="95"/>
      <c r="G55" s="95"/>
    </row>
    <row r="56" spans="3:7" x14ac:dyDescent="0.2">
      <c r="C56" s="62" t="s">
        <v>4</v>
      </c>
      <c r="D56" s="64" t="s">
        <v>57</v>
      </c>
      <c r="E56" s="95"/>
      <c r="F56" s="95"/>
      <c r="G56" s="95"/>
    </row>
    <row r="57" spans="3:7" x14ac:dyDescent="0.2">
      <c r="C57" s="62" t="s">
        <v>3</v>
      </c>
      <c r="D57" s="64" t="s">
        <v>58</v>
      </c>
      <c r="E57" s="95"/>
      <c r="F57" s="95"/>
      <c r="G57" s="95"/>
    </row>
    <row r="58" spans="3:7" x14ac:dyDescent="0.2">
      <c r="C58" s="62" t="s">
        <v>5</v>
      </c>
      <c r="D58" s="70" t="s">
        <v>61</v>
      </c>
      <c r="E58" s="95"/>
      <c r="F58" s="95"/>
      <c r="G58" s="95"/>
    </row>
    <row r="59" spans="3:7" x14ac:dyDescent="0.2">
      <c r="C59" s="62" t="s">
        <v>15</v>
      </c>
      <c r="D59" s="64" t="s">
        <v>62</v>
      </c>
      <c r="E59" s="95"/>
      <c r="F59" s="95"/>
      <c r="G59" s="95"/>
    </row>
    <row r="60" spans="3:7" ht="30" x14ac:dyDescent="0.2">
      <c r="C60" s="62" t="s">
        <v>3</v>
      </c>
      <c r="D60" s="64" t="s">
        <v>63</v>
      </c>
      <c r="E60" s="95"/>
      <c r="F60" s="95"/>
      <c r="G60" s="95"/>
    </row>
    <row r="61" spans="3:7" x14ac:dyDescent="0.2">
      <c r="C61" s="62" t="s">
        <v>13</v>
      </c>
      <c r="D61" s="64" t="s">
        <v>64</v>
      </c>
      <c r="E61" s="95"/>
      <c r="F61" s="95"/>
      <c r="G61" s="95"/>
    </row>
    <row r="62" spans="3:7" x14ac:dyDescent="0.2">
      <c r="C62" s="62" t="s">
        <v>4</v>
      </c>
      <c r="D62" s="64" t="s">
        <v>65</v>
      </c>
      <c r="E62" s="95"/>
      <c r="F62" s="95"/>
      <c r="G62" s="95"/>
    </row>
    <row r="63" spans="3:7" x14ac:dyDescent="0.2">
      <c r="C63" s="62" t="s">
        <v>5</v>
      </c>
      <c r="D63" s="64" t="s">
        <v>66</v>
      </c>
      <c r="E63" s="95"/>
      <c r="F63" s="95"/>
      <c r="G63" s="95"/>
    </row>
    <row r="64" spans="3:7" ht="30" x14ac:dyDescent="0.2">
      <c r="C64" s="62" t="s">
        <v>13</v>
      </c>
      <c r="D64" s="64" t="s">
        <v>67</v>
      </c>
      <c r="E64" s="95"/>
      <c r="F64" s="95"/>
      <c r="G64" s="95"/>
    </row>
    <row r="65" spans="3:17" x14ac:dyDescent="0.2">
      <c r="C65" s="62" t="s">
        <v>15</v>
      </c>
      <c r="D65" s="70" t="s">
        <v>68</v>
      </c>
      <c r="E65" s="95"/>
      <c r="F65" s="95"/>
      <c r="G65" s="95"/>
    </row>
    <row r="66" spans="3:17" x14ac:dyDescent="0.2">
      <c r="C66" s="62" t="s">
        <v>4</v>
      </c>
      <c r="D66" s="64" t="s">
        <v>69</v>
      </c>
      <c r="E66" s="95"/>
      <c r="F66" s="95"/>
      <c r="G66" s="95"/>
    </row>
    <row r="67" spans="3:17" x14ac:dyDescent="0.2">
      <c r="C67" s="62" t="s">
        <v>5</v>
      </c>
      <c r="D67" s="64" t="s">
        <v>70</v>
      </c>
      <c r="E67" s="95"/>
      <c r="F67" s="95"/>
      <c r="G67" s="95"/>
    </row>
    <row r="68" spans="3:17" x14ac:dyDescent="0.2">
      <c r="C68" s="62" t="s">
        <v>3</v>
      </c>
      <c r="D68" s="64" t="s">
        <v>71</v>
      </c>
      <c r="E68" s="95"/>
      <c r="F68" s="95"/>
      <c r="G68" s="95"/>
    </row>
    <row r="69" spans="3:17" x14ac:dyDescent="0.2">
      <c r="C69" s="62" t="s">
        <v>15</v>
      </c>
      <c r="D69" s="70" t="s">
        <v>72</v>
      </c>
      <c r="E69" s="95"/>
      <c r="F69" s="95"/>
      <c r="G69" s="95"/>
    </row>
    <row r="72" spans="3:17" x14ac:dyDescent="0.2">
      <c r="C72" s="24" t="s">
        <v>73</v>
      </c>
    </row>
    <row r="74" spans="3:17" x14ac:dyDescent="0.2">
      <c r="C74" s="61" t="s">
        <v>2</v>
      </c>
      <c r="D74" s="61" t="s">
        <v>7</v>
      </c>
      <c r="E74" s="61" t="s">
        <v>8</v>
      </c>
      <c r="F74" s="61" t="s">
        <v>9</v>
      </c>
      <c r="G74" s="61" t="b">
        <v>1</v>
      </c>
    </row>
    <row r="75" spans="3:17" x14ac:dyDescent="0.2">
      <c r="C75" s="62"/>
      <c r="D75" s="63" t="s">
        <v>10</v>
      </c>
      <c r="E75" s="33" t="s">
        <v>11</v>
      </c>
      <c r="F75" s="33">
        <v>1</v>
      </c>
      <c r="G75" s="33" t="s">
        <v>12</v>
      </c>
    </row>
    <row r="76" spans="3:17" x14ac:dyDescent="0.2">
      <c r="C76" s="62" t="s">
        <v>13</v>
      </c>
      <c r="D76" s="64" t="s">
        <v>14</v>
      </c>
      <c r="E76" s="94"/>
      <c r="F76" s="95"/>
      <c r="G76" s="95"/>
    </row>
    <row r="77" spans="3:17" x14ac:dyDescent="0.2">
      <c r="C77" s="62" t="s">
        <v>15</v>
      </c>
      <c r="D77" s="64" t="s">
        <v>16</v>
      </c>
      <c r="E77" s="95"/>
      <c r="F77" s="95"/>
      <c r="G77" s="95"/>
      <c r="J77" s="24"/>
    </row>
    <row r="78" spans="3:17" ht="30" x14ac:dyDescent="0.2">
      <c r="C78" s="62" t="s">
        <v>3</v>
      </c>
      <c r="D78" s="64" t="s">
        <v>18</v>
      </c>
      <c r="E78" s="95"/>
      <c r="F78" s="95"/>
      <c r="G78" s="95"/>
      <c r="N78" s="187"/>
      <c r="O78" s="187"/>
      <c r="P78" s="187"/>
      <c r="Q78" s="73"/>
    </row>
    <row r="79" spans="3:17" ht="30" x14ac:dyDescent="0.2">
      <c r="C79" s="62" t="s">
        <v>13</v>
      </c>
      <c r="D79" s="64" t="s">
        <v>22</v>
      </c>
      <c r="E79" s="95"/>
      <c r="F79" s="95"/>
      <c r="G79" s="95"/>
    </row>
    <row r="80" spans="3:17" x14ac:dyDescent="0.2">
      <c r="C80" s="62" t="s">
        <v>4</v>
      </c>
      <c r="D80" s="64" t="s">
        <v>26</v>
      </c>
      <c r="E80" s="95"/>
      <c r="F80" s="95"/>
      <c r="G80" s="95"/>
    </row>
    <row r="81" spans="3:7" x14ac:dyDescent="0.2">
      <c r="C81" s="62" t="s">
        <v>5</v>
      </c>
      <c r="D81" s="64" t="s">
        <v>31</v>
      </c>
      <c r="E81" s="95"/>
      <c r="F81" s="95"/>
      <c r="G81" s="95"/>
    </row>
    <row r="82" spans="3:7" x14ac:dyDescent="0.2">
      <c r="C82" s="62" t="s">
        <v>4</v>
      </c>
      <c r="D82" s="70" t="s">
        <v>34</v>
      </c>
      <c r="E82" s="95"/>
      <c r="F82" s="95"/>
      <c r="G82" s="95"/>
    </row>
    <row r="83" spans="3:7" x14ac:dyDescent="0.2">
      <c r="C83" s="62" t="s">
        <v>3</v>
      </c>
      <c r="D83" s="64" t="s">
        <v>39</v>
      </c>
      <c r="E83" s="95"/>
      <c r="F83" s="95"/>
      <c r="G83" s="95"/>
    </row>
    <row r="84" spans="3:7" x14ac:dyDescent="0.2">
      <c r="C84" s="62" t="s">
        <v>13</v>
      </c>
      <c r="D84" s="64" t="s">
        <v>45</v>
      </c>
      <c r="E84" s="95"/>
      <c r="F84" s="95"/>
      <c r="G84" s="95"/>
    </row>
    <row r="85" spans="3:7" x14ac:dyDescent="0.2">
      <c r="C85" s="62" t="s">
        <v>15</v>
      </c>
      <c r="D85" s="64" t="s">
        <v>50</v>
      </c>
      <c r="E85" s="95"/>
      <c r="F85" s="95"/>
      <c r="G85" s="95"/>
    </row>
    <row r="86" spans="3:7" x14ac:dyDescent="0.2">
      <c r="C86" s="62" t="s">
        <v>5</v>
      </c>
      <c r="D86" s="70" t="s">
        <v>55</v>
      </c>
      <c r="E86" s="95"/>
      <c r="F86" s="95"/>
      <c r="G86" s="95"/>
    </row>
    <row r="87" spans="3:7" x14ac:dyDescent="0.2">
      <c r="C87" s="62" t="s">
        <v>4</v>
      </c>
      <c r="D87" s="64" t="s">
        <v>57</v>
      </c>
      <c r="E87" s="95"/>
      <c r="F87" s="95"/>
      <c r="G87" s="95"/>
    </row>
    <row r="88" spans="3:7" x14ac:dyDescent="0.2">
      <c r="C88" s="62" t="s">
        <v>3</v>
      </c>
      <c r="D88" s="64" t="s">
        <v>58</v>
      </c>
      <c r="E88" s="95"/>
      <c r="F88" s="95"/>
      <c r="G88" s="95"/>
    </row>
    <row r="89" spans="3:7" x14ac:dyDescent="0.2">
      <c r="C89" s="62" t="s">
        <v>5</v>
      </c>
      <c r="D89" s="70" t="s">
        <v>61</v>
      </c>
      <c r="E89" s="95"/>
      <c r="F89" s="95"/>
      <c r="G89" s="95"/>
    </row>
    <row r="90" spans="3:7" x14ac:dyDescent="0.2">
      <c r="C90" s="62" t="s">
        <v>15</v>
      </c>
      <c r="D90" s="64" t="s">
        <v>62</v>
      </c>
      <c r="E90" s="95"/>
      <c r="F90" s="95"/>
      <c r="G90" s="95"/>
    </row>
    <row r="91" spans="3:7" ht="30" x14ac:dyDescent="0.2">
      <c r="C91" s="62" t="s">
        <v>3</v>
      </c>
      <c r="D91" s="64" t="s">
        <v>63</v>
      </c>
      <c r="E91" s="95"/>
      <c r="F91" s="95"/>
      <c r="G91" s="95"/>
    </row>
    <row r="92" spans="3:7" x14ac:dyDescent="0.2">
      <c r="C92" s="62" t="s">
        <v>13</v>
      </c>
      <c r="D92" s="64" t="s">
        <v>64</v>
      </c>
      <c r="E92" s="95"/>
      <c r="F92" s="95"/>
      <c r="G92" s="95"/>
    </row>
    <row r="93" spans="3:7" x14ac:dyDescent="0.2">
      <c r="C93" s="62" t="s">
        <v>4</v>
      </c>
      <c r="D93" s="64" t="s">
        <v>65</v>
      </c>
      <c r="E93" s="95"/>
      <c r="F93" s="95"/>
      <c r="G93" s="95"/>
    </row>
    <row r="94" spans="3:7" x14ac:dyDescent="0.2">
      <c r="C94" s="62" t="s">
        <v>5</v>
      </c>
      <c r="D94" s="64" t="s">
        <v>66</v>
      </c>
      <c r="E94" s="95"/>
      <c r="F94" s="95"/>
      <c r="G94" s="95"/>
    </row>
    <row r="95" spans="3:7" ht="30" x14ac:dyDescent="0.2">
      <c r="C95" s="62" t="s">
        <v>13</v>
      </c>
      <c r="D95" s="64" t="s">
        <v>67</v>
      </c>
      <c r="E95" s="95"/>
      <c r="F95" s="95"/>
      <c r="G95" s="95"/>
    </row>
    <row r="96" spans="3:7" x14ac:dyDescent="0.2">
      <c r="C96" s="62" t="s">
        <v>15</v>
      </c>
      <c r="D96" s="70" t="s">
        <v>68</v>
      </c>
      <c r="E96" s="95"/>
      <c r="F96" s="95"/>
      <c r="G96" s="95"/>
    </row>
    <row r="97" spans="3:7" x14ac:dyDescent="0.2">
      <c r="C97" s="62" t="s">
        <v>4</v>
      </c>
      <c r="D97" s="64" t="s">
        <v>69</v>
      </c>
      <c r="E97" s="95"/>
      <c r="F97" s="95"/>
      <c r="G97" s="95"/>
    </row>
    <row r="98" spans="3:7" x14ac:dyDescent="0.2">
      <c r="C98" s="62" t="s">
        <v>5</v>
      </c>
      <c r="D98" s="64" t="s">
        <v>70</v>
      </c>
      <c r="E98" s="95"/>
      <c r="F98" s="95"/>
      <c r="G98" s="95"/>
    </row>
    <row r="99" spans="3:7" x14ac:dyDescent="0.2">
      <c r="C99" s="62" t="s">
        <v>3</v>
      </c>
      <c r="D99" s="64" t="s">
        <v>71</v>
      </c>
      <c r="E99" s="95"/>
      <c r="F99" s="95"/>
      <c r="G99" s="95"/>
    </row>
    <row r="100" spans="3:7" x14ac:dyDescent="0.2">
      <c r="C100" s="62" t="s">
        <v>15</v>
      </c>
      <c r="D100" s="70" t="s">
        <v>72</v>
      </c>
      <c r="E100" s="95"/>
      <c r="F100" s="95"/>
      <c r="G100" s="95"/>
    </row>
    <row r="102" spans="3:7" x14ac:dyDescent="0.2">
      <c r="C102" s="24" t="s">
        <v>74</v>
      </c>
    </row>
    <row r="104" spans="3:7" x14ac:dyDescent="0.2">
      <c r="C104" s="61" t="s">
        <v>2</v>
      </c>
      <c r="D104" s="61" t="s">
        <v>7</v>
      </c>
      <c r="E104" s="61" t="s">
        <v>8</v>
      </c>
      <c r="F104" s="61" t="s">
        <v>9</v>
      </c>
      <c r="G104" s="61" t="b">
        <v>1</v>
      </c>
    </row>
    <row r="105" spans="3:7" x14ac:dyDescent="0.2">
      <c r="C105" s="62"/>
      <c r="D105" s="63" t="s">
        <v>10</v>
      </c>
      <c r="E105" s="33" t="s">
        <v>11</v>
      </c>
      <c r="F105" s="33">
        <v>1</v>
      </c>
      <c r="G105" s="33" t="s">
        <v>12</v>
      </c>
    </row>
    <row r="106" spans="3:7" x14ac:dyDescent="0.2">
      <c r="C106" s="62" t="s">
        <v>13</v>
      </c>
      <c r="D106" s="64" t="s">
        <v>14</v>
      </c>
      <c r="E106" s="94"/>
      <c r="F106" s="95"/>
      <c r="G106" s="95"/>
    </row>
    <row r="107" spans="3:7" x14ac:dyDescent="0.2">
      <c r="C107" s="62" t="s">
        <v>15</v>
      </c>
      <c r="D107" s="64" t="s">
        <v>16</v>
      </c>
      <c r="E107" s="95"/>
      <c r="F107" s="95"/>
      <c r="G107" s="95"/>
    </row>
    <row r="108" spans="3:7" ht="30" x14ac:dyDescent="0.2">
      <c r="C108" s="62" t="s">
        <v>3</v>
      </c>
      <c r="D108" s="64" t="s">
        <v>18</v>
      </c>
      <c r="E108" s="95"/>
      <c r="F108" s="95"/>
      <c r="G108" s="95"/>
    </row>
    <row r="109" spans="3:7" ht="30" x14ac:dyDescent="0.2">
      <c r="C109" s="62" t="s">
        <v>13</v>
      </c>
      <c r="D109" s="64" t="s">
        <v>22</v>
      </c>
      <c r="E109" s="95"/>
      <c r="F109" s="95"/>
      <c r="G109" s="95"/>
    </row>
    <row r="110" spans="3:7" x14ac:dyDescent="0.2">
      <c r="C110" s="62" t="s">
        <v>4</v>
      </c>
      <c r="D110" s="64" t="s">
        <v>26</v>
      </c>
      <c r="E110" s="95"/>
      <c r="F110" s="95"/>
      <c r="G110" s="95"/>
    </row>
    <row r="111" spans="3:7" x14ac:dyDescent="0.2">
      <c r="C111" s="62" t="s">
        <v>5</v>
      </c>
      <c r="D111" s="64" t="s">
        <v>31</v>
      </c>
      <c r="E111" s="95"/>
      <c r="F111" s="95"/>
      <c r="G111" s="95"/>
    </row>
    <row r="112" spans="3:7" x14ac:dyDescent="0.2">
      <c r="C112" s="62" t="s">
        <v>4</v>
      </c>
      <c r="D112" s="70" t="s">
        <v>34</v>
      </c>
      <c r="E112" s="95"/>
      <c r="F112" s="95"/>
      <c r="G112" s="95"/>
    </row>
    <row r="113" spans="3:7" x14ac:dyDescent="0.2">
      <c r="C113" s="62" t="s">
        <v>3</v>
      </c>
      <c r="D113" s="64" t="s">
        <v>39</v>
      </c>
      <c r="E113" s="95"/>
      <c r="F113" s="95"/>
      <c r="G113" s="95"/>
    </row>
    <row r="114" spans="3:7" x14ac:dyDescent="0.2">
      <c r="C114" s="62" t="s">
        <v>13</v>
      </c>
      <c r="D114" s="64" t="s">
        <v>45</v>
      </c>
      <c r="E114" s="95"/>
      <c r="F114" s="95"/>
      <c r="G114" s="95"/>
    </row>
    <row r="115" spans="3:7" x14ac:dyDescent="0.2">
      <c r="C115" s="62" t="s">
        <v>15</v>
      </c>
      <c r="D115" s="64" t="s">
        <v>50</v>
      </c>
      <c r="E115" s="95"/>
      <c r="F115" s="95"/>
      <c r="G115" s="95"/>
    </row>
    <row r="116" spans="3:7" x14ac:dyDescent="0.2">
      <c r="C116" s="62" t="s">
        <v>5</v>
      </c>
      <c r="D116" s="70" t="s">
        <v>55</v>
      </c>
      <c r="E116" s="95"/>
      <c r="F116" s="95"/>
      <c r="G116" s="95"/>
    </row>
    <row r="117" spans="3:7" x14ac:dyDescent="0.2">
      <c r="C117" s="62" t="s">
        <v>4</v>
      </c>
      <c r="D117" s="64" t="s">
        <v>57</v>
      </c>
      <c r="E117" s="95"/>
      <c r="F117" s="95"/>
      <c r="G117" s="95"/>
    </row>
    <row r="118" spans="3:7" x14ac:dyDescent="0.2">
      <c r="C118" s="62" t="s">
        <v>3</v>
      </c>
      <c r="D118" s="64" t="s">
        <v>58</v>
      </c>
      <c r="E118" s="95"/>
      <c r="F118" s="95"/>
      <c r="G118" s="95"/>
    </row>
    <row r="119" spans="3:7" x14ac:dyDescent="0.2">
      <c r="C119" s="62" t="s">
        <v>5</v>
      </c>
      <c r="D119" s="70" t="s">
        <v>61</v>
      </c>
      <c r="E119" s="95"/>
      <c r="F119" s="95"/>
      <c r="G119" s="95"/>
    </row>
    <row r="120" spans="3:7" x14ac:dyDescent="0.2">
      <c r="C120" s="62" t="s">
        <v>15</v>
      </c>
      <c r="D120" s="64" t="s">
        <v>62</v>
      </c>
      <c r="E120" s="95"/>
      <c r="F120" s="95"/>
      <c r="G120" s="95"/>
    </row>
    <row r="121" spans="3:7" ht="30" x14ac:dyDescent="0.2">
      <c r="C121" s="62" t="s">
        <v>3</v>
      </c>
      <c r="D121" s="64" t="s">
        <v>63</v>
      </c>
      <c r="E121" s="95"/>
      <c r="F121" s="95"/>
      <c r="G121" s="95"/>
    </row>
    <row r="122" spans="3:7" x14ac:dyDescent="0.2">
      <c r="C122" s="62" t="s">
        <v>13</v>
      </c>
      <c r="D122" s="64" t="s">
        <v>64</v>
      </c>
      <c r="E122" s="95"/>
      <c r="F122" s="95"/>
      <c r="G122" s="95"/>
    </row>
    <row r="123" spans="3:7" x14ac:dyDescent="0.2">
      <c r="C123" s="62" t="s">
        <v>4</v>
      </c>
      <c r="D123" s="64" t="s">
        <v>65</v>
      </c>
      <c r="E123" s="95"/>
      <c r="F123" s="95"/>
      <c r="G123" s="95"/>
    </row>
    <row r="124" spans="3:7" x14ac:dyDescent="0.2">
      <c r="C124" s="62" t="s">
        <v>5</v>
      </c>
      <c r="D124" s="64" t="s">
        <v>66</v>
      </c>
      <c r="E124" s="95"/>
      <c r="F124" s="95"/>
      <c r="G124" s="95"/>
    </row>
    <row r="125" spans="3:7" ht="30" x14ac:dyDescent="0.2">
      <c r="C125" s="62" t="s">
        <v>13</v>
      </c>
      <c r="D125" s="64" t="s">
        <v>67</v>
      </c>
      <c r="E125" s="95"/>
      <c r="F125" s="95"/>
      <c r="G125" s="95"/>
    </row>
    <row r="126" spans="3:7" x14ac:dyDescent="0.2">
      <c r="C126" s="62" t="s">
        <v>15</v>
      </c>
      <c r="D126" s="70" t="s">
        <v>68</v>
      </c>
      <c r="E126" s="95"/>
      <c r="F126" s="95"/>
      <c r="G126" s="95"/>
    </row>
    <row r="127" spans="3:7" x14ac:dyDescent="0.2">
      <c r="C127" s="62" t="s">
        <v>4</v>
      </c>
      <c r="D127" s="64" t="s">
        <v>69</v>
      </c>
      <c r="E127" s="95"/>
      <c r="F127" s="95"/>
      <c r="G127" s="95"/>
    </row>
    <row r="128" spans="3:7" x14ac:dyDescent="0.2">
      <c r="C128" s="62" t="s">
        <v>5</v>
      </c>
      <c r="D128" s="64" t="s">
        <v>70</v>
      </c>
      <c r="E128" s="95"/>
      <c r="F128" s="95"/>
      <c r="G128" s="95"/>
    </row>
    <row r="129" spans="3:7" x14ac:dyDescent="0.2">
      <c r="C129" s="62" t="s">
        <v>3</v>
      </c>
      <c r="D129" s="64" t="s">
        <v>71</v>
      </c>
      <c r="E129" s="95"/>
      <c r="F129" s="95"/>
      <c r="G129" s="95"/>
    </row>
    <row r="130" spans="3:7" x14ac:dyDescent="0.2">
      <c r="C130" s="62" t="s">
        <v>15</v>
      </c>
      <c r="D130" s="70" t="s">
        <v>72</v>
      </c>
      <c r="E130" s="95"/>
      <c r="F130" s="95"/>
      <c r="G130" s="95"/>
    </row>
  </sheetData>
  <sheetProtection algorithmName="SHA-512" hashValue="zZxcsjGzUfuFsaUvQodtk06EFVdZmAWTKXqxzgJ3KQ4XbuDt7+RI69fP30lDhWI33C7zuwAmkrifNNg+TS/keg==" saltValue="OsmLW7n6Q69rrvbnygBac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6D070080-E6EE-4328-B167-6A1CF4BFD0E8}">
      <formula1>45170</formula1>
      <formula2>49552</formula2>
    </dataValidation>
  </dataValidations>
  <pageMargins left="0.7" right="0.7" top="0.75" bottom="0.75" header="0.3" footer="0.3"/>
  <pageSetup scale="43"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72947-60F5-4E51-B094-AAB2EE54798E}">
  <sheetPr>
    <pageSetUpPr fitToPage="1"/>
  </sheetPr>
  <dimension ref="B2:R130"/>
  <sheetViews>
    <sheetView showGridLines="0" topLeftCell="E12" workbookViewId="0">
      <selection activeCell="E12" sqref="E12"/>
    </sheetView>
  </sheetViews>
  <sheetFormatPr baseColWidth="10" defaultColWidth="9.1640625" defaultRowHeight="15" x14ac:dyDescent="0.2"/>
  <cols>
    <col min="1" max="1" width="9.1640625" style="18"/>
    <col min="2" max="2" width="7.33203125" style="18" customWidth="1"/>
    <col min="3" max="3" width="27.83203125" style="18" bestFit="1" customWidth="1"/>
    <col min="4" max="4" width="45.6640625" style="18" customWidth="1"/>
    <col min="5" max="5" width="13.33203125" style="18" customWidth="1"/>
    <col min="6" max="6" width="13" style="18" customWidth="1"/>
    <col min="7" max="7" width="13.5" style="18" customWidth="1"/>
    <col min="8" max="9" width="9.1640625" style="18"/>
    <col min="10" max="11" width="21.6640625" style="18" customWidth="1"/>
    <col min="12" max="12" width="17.1640625" style="18" customWidth="1"/>
    <col min="13" max="13" width="16.1640625" style="18" customWidth="1"/>
    <col min="14" max="14" width="14.5" style="18" customWidth="1"/>
    <col min="15" max="15" width="13.1640625" style="18" customWidth="1"/>
    <col min="16" max="17" width="13.5" style="18" customWidth="1"/>
    <col min="18" max="16384" width="9.1640625" style="18"/>
  </cols>
  <sheetData>
    <row r="2" spans="2:18" x14ac:dyDescent="0.2">
      <c r="C2" s="24" t="s">
        <v>126</v>
      </c>
      <c r="D2" s="18" t="s">
        <v>163</v>
      </c>
    </row>
    <row r="3" spans="2:18" x14ac:dyDescent="0.2">
      <c r="C3" s="24"/>
      <c r="D3" s="18" t="s">
        <v>164</v>
      </c>
    </row>
    <row r="4" spans="2:18" x14ac:dyDescent="0.2">
      <c r="C4" s="24"/>
      <c r="D4" s="18" t="s">
        <v>165</v>
      </c>
    </row>
    <row r="5" spans="2:18" ht="16" thickBot="1" x14ac:dyDescent="0.25"/>
    <row r="6" spans="2:18" ht="16" thickBot="1" x14ac:dyDescent="0.25">
      <c r="C6" s="24" t="s">
        <v>104</v>
      </c>
      <c r="D6" s="27"/>
    </row>
    <row r="7" spans="2:18" ht="16" thickBot="1" x14ac:dyDescent="0.25"/>
    <row r="8" spans="2:18" ht="16" thickBot="1" x14ac:dyDescent="0.25">
      <c r="B8" s="139" t="s">
        <v>200</v>
      </c>
      <c r="C8" s="139"/>
      <c r="D8" s="89"/>
      <c r="E8" s="18" t="s">
        <v>199</v>
      </c>
    </row>
    <row r="10" spans="2:18" x14ac:dyDescent="0.2">
      <c r="C10" s="61" t="s">
        <v>2</v>
      </c>
      <c r="D10" s="61" t="s">
        <v>7</v>
      </c>
      <c r="E10" s="61" t="s">
        <v>8</v>
      </c>
      <c r="F10" s="61" t="s">
        <v>9</v>
      </c>
      <c r="G10" s="61" t="b">
        <v>1</v>
      </c>
    </row>
    <row r="11" spans="2:18" x14ac:dyDescent="0.2">
      <c r="C11" s="62"/>
      <c r="D11" s="63" t="s">
        <v>10</v>
      </c>
      <c r="E11" s="33" t="s">
        <v>11</v>
      </c>
      <c r="F11" s="33">
        <v>1</v>
      </c>
      <c r="G11" s="33" t="s">
        <v>12</v>
      </c>
      <c r="J11" s="18" t="s">
        <v>184</v>
      </c>
    </row>
    <row r="12" spans="2:18" x14ac:dyDescent="0.2">
      <c r="C12" s="62" t="s">
        <v>13</v>
      </c>
      <c r="D12" s="64" t="s">
        <v>14</v>
      </c>
      <c r="E12" s="94"/>
      <c r="F12" s="95"/>
      <c r="G12" s="95"/>
    </row>
    <row r="13" spans="2:18" x14ac:dyDescent="0.2">
      <c r="C13" s="62" t="s">
        <v>15</v>
      </c>
      <c r="D13" s="64" t="s">
        <v>16</v>
      </c>
      <c r="E13" s="95"/>
      <c r="F13" s="95"/>
      <c r="G13" s="95"/>
      <c r="J13" s="24" t="s">
        <v>17</v>
      </c>
    </row>
    <row r="14" spans="2:18" ht="30" x14ac:dyDescent="0.2">
      <c r="C14" s="62" t="s">
        <v>3</v>
      </c>
      <c r="D14" s="64" t="s">
        <v>18</v>
      </c>
      <c r="E14" s="95"/>
      <c r="F14" s="95"/>
      <c r="G14" s="95"/>
      <c r="J14" s="61" t="s">
        <v>2</v>
      </c>
      <c r="K14" s="61" t="s">
        <v>203</v>
      </c>
      <c r="L14" s="61" t="s">
        <v>204</v>
      </c>
      <c r="M14" s="61" t="s">
        <v>19</v>
      </c>
      <c r="N14" s="61" t="s">
        <v>20</v>
      </c>
      <c r="O14" s="184" t="s">
        <v>21</v>
      </c>
      <c r="P14" s="185"/>
      <c r="Q14" s="185"/>
      <c r="R14" s="186"/>
    </row>
    <row r="15" spans="2:18" ht="30" x14ac:dyDescent="0.2">
      <c r="C15" s="62" t="s">
        <v>13</v>
      </c>
      <c r="D15" s="64" t="s">
        <v>22</v>
      </c>
      <c r="E15" s="95"/>
      <c r="F15" s="95"/>
      <c r="G15" s="95"/>
      <c r="J15" s="61" t="s">
        <v>3</v>
      </c>
      <c r="K15" s="120">
        <f>SUM(E14,F14,G14,E19,F19,G19,E27,F27,G27,E24,F24,G24,E35,F35,G35)</f>
        <v>0</v>
      </c>
      <c r="L15" s="120">
        <f>SUM(E47,F47,G47,E52,F52,G52,E60,F60,G60,E57,F57,G57,E68,F68,G68)</f>
        <v>0</v>
      </c>
      <c r="M15" s="121">
        <f>SUM(E78,F78,G78,E83,F83,G83,E91,F91,G91,E88,F88,G88,E99,F99,G99)</f>
        <v>0</v>
      </c>
      <c r="N15" s="121">
        <f>SUM(E108,F108,G108,E113,F113,G113,E118,F118,G118,E121,F121,G121,E129,F129,G129)</f>
        <v>0</v>
      </c>
      <c r="O15" s="74" t="s">
        <v>23</v>
      </c>
      <c r="P15" s="75">
        <v>4</v>
      </c>
      <c r="Q15" s="76" t="s">
        <v>24</v>
      </c>
      <c r="R15" s="77" t="s">
        <v>25</v>
      </c>
    </row>
    <row r="16" spans="2:18" x14ac:dyDescent="0.2">
      <c r="C16" s="62" t="s">
        <v>4</v>
      </c>
      <c r="D16" s="64" t="s">
        <v>26</v>
      </c>
      <c r="E16" s="95"/>
      <c r="F16" s="95"/>
      <c r="G16" s="95"/>
      <c r="J16" s="61" t="s">
        <v>5</v>
      </c>
      <c r="K16" s="120">
        <f>SUM(E17,F17,G17,E22,F22,G22,E25,F25,G25,E30,F30,G30,E34,F34,G34)</f>
        <v>0</v>
      </c>
      <c r="L16" s="120">
        <f>SUM(E50,F50,G50,E55,F55,G55,E58,F58,G58,E63,F63,G63,E67,F67,G67)</f>
        <v>0</v>
      </c>
      <c r="M16" s="121">
        <f>SUM(E81,F81,G81,E86,F86,G86,E89,F89,G89,E94,F94,G94,E98,F98,G98)</f>
        <v>0</v>
      </c>
      <c r="N16" s="121">
        <f>SUM(E111,F111,G111,E116,F116,G116,E119,F119,G119,E124,F124,G124,E128,F128,G128)</f>
        <v>0</v>
      </c>
      <c r="O16" s="74" t="s">
        <v>27</v>
      </c>
      <c r="P16" s="75" t="s">
        <v>28</v>
      </c>
      <c r="Q16" s="76" t="s">
        <v>29</v>
      </c>
      <c r="R16" s="77" t="s">
        <v>30</v>
      </c>
    </row>
    <row r="17" spans="3:18" x14ac:dyDescent="0.2">
      <c r="C17" s="62" t="s">
        <v>5</v>
      </c>
      <c r="D17" s="64" t="s">
        <v>31</v>
      </c>
      <c r="E17" s="95"/>
      <c r="F17" s="95"/>
      <c r="G17" s="95"/>
      <c r="J17" s="61" t="s">
        <v>4</v>
      </c>
      <c r="K17" s="120">
        <f>SUM(E16,F16,G16,E18,F18,G18,E23,F23,G23,E29,F29,G29,E33,F33,G33)</f>
        <v>0</v>
      </c>
      <c r="L17" s="120">
        <f>SUM(E49,F49,G49,E51,F51,G51,E62,F62,G62,E56,F56,G56,E66,F66,G66)</f>
        <v>0</v>
      </c>
      <c r="M17" s="120">
        <f>SUM(E80,F80,G80,E82,F82,G82,E87,F87,G87,E93,F93,G93,E97,F97,G97)</f>
        <v>0</v>
      </c>
      <c r="N17" s="121">
        <f>SUM(E110,F110,G110,E112,F112,G112,E117,F117,G117,E123,F123,G123,E127,F127,G127)</f>
        <v>0</v>
      </c>
      <c r="O17" s="74" t="s">
        <v>27</v>
      </c>
      <c r="P17" s="75" t="s">
        <v>28</v>
      </c>
      <c r="Q17" s="76" t="s">
        <v>32</v>
      </c>
      <c r="R17" s="77" t="s">
        <v>33</v>
      </c>
    </row>
    <row r="18" spans="3:18" x14ac:dyDescent="0.2">
      <c r="C18" s="62" t="s">
        <v>4</v>
      </c>
      <c r="D18" s="70" t="s">
        <v>34</v>
      </c>
      <c r="E18" s="95"/>
      <c r="F18" s="95"/>
      <c r="G18" s="95"/>
      <c r="J18" s="61" t="s">
        <v>15</v>
      </c>
      <c r="K18" s="120">
        <f>SUM(E13,F13,G13,E21,F21,G21,E26,F26,G26,E32,F32,G32,E36,F36,G36)</f>
        <v>0</v>
      </c>
      <c r="L18" s="120">
        <f>SUM(E46,F46,G46,E54,F54,G54,E65,F65,G65,E59,F59,G59,E69,F69,G69)</f>
        <v>0</v>
      </c>
      <c r="M18" s="120">
        <f>SUM(E77,F77,G77,E85,F85,G85,E90,F90,G90,E96,F96,G96,E100,F100,G100)</f>
        <v>0</v>
      </c>
      <c r="N18" s="121">
        <f>SUM(E107,F107,G107,E115,F115,G115,E120,F120,G120,E126,F126,G126,E130,F130,G130)</f>
        <v>0</v>
      </c>
      <c r="O18" s="74" t="s">
        <v>35</v>
      </c>
      <c r="P18" s="75" t="s">
        <v>36</v>
      </c>
      <c r="Q18" s="76" t="s">
        <v>37</v>
      </c>
      <c r="R18" s="77" t="s">
        <v>38</v>
      </c>
    </row>
    <row r="19" spans="3:18" x14ac:dyDescent="0.2">
      <c r="C19" s="62" t="s">
        <v>3</v>
      </c>
      <c r="D19" s="64" t="s">
        <v>39</v>
      </c>
      <c r="E19" s="95"/>
      <c r="F19" s="95"/>
      <c r="G19" s="95"/>
      <c r="J19" s="61" t="s">
        <v>40</v>
      </c>
      <c r="K19" s="120">
        <f>SUM(K15:K18)</f>
        <v>0</v>
      </c>
      <c r="L19" s="120">
        <f>SUM(L15:L18)</f>
        <v>0</v>
      </c>
      <c r="M19" s="120">
        <f>SUM(M15:M18)</f>
        <v>0</v>
      </c>
      <c r="N19" s="121">
        <f>SUM(N15:N18)</f>
        <v>0</v>
      </c>
      <c r="O19" s="74" t="s">
        <v>41</v>
      </c>
      <c r="P19" s="75" t="s">
        <v>42</v>
      </c>
      <c r="Q19" s="76" t="s">
        <v>43</v>
      </c>
      <c r="R19" s="77" t="s">
        <v>44</v>
      </c>
    </row>
    <row r="20" spans="3:18" x14ac:dyDescent="0.2">
      <c r="C20" s="62" t="s">
        <v>13</v>
      </c>
      <c r="D20" s="64" t="s">
        <v>45</v>
      </c>
      <c r="E20" s="95"/>
      <c r="F20" s="95"/>
      <c r="G20" s="95"/>
      <c r="J20" s="61" t="s">
        <v>46</v>
      </c>
      <c r="K20" s="120">
        <f>SUM(K15+K16)</f>
        <v>0</v>
      </c>
      <c r="L20" s="120">
        <f>SUM(L15+L16)</f>
        <v>0</v>
      </c>
      <c r="M20" s="120">
        <f>SUM(M15+M16)</f>
        <v>0</v>
      </c>
      <c r="N20" s="120">
        <f>SUM(N15+N16)</f>
        <v>0</v>
      </c>
      <c r="O20" s="74" t="s">
        <v>23</v>
      </c>
      <c r="P20" s="75" t="s">
        <v>47</v>
      </c>
      <c r="Q20" s="76" t="s">
        <v>48</v>
      </c>
      <c r="R20" s="77" t="s">
        <v>49</v>
      </c>
    </row>
    <row r="21" spans="3:18" x14ac:dyDescent="0.2">
      <c r="C21" s="62" t="s">
        <v>15</v>
      </c>
      <c r="D21" s="64" t="s">
        <v>50</v>
      </c>
      <c r="E21" s="95"/>
      <c r="F21" s="95"/>
      <c r="G21" s="95"/>
      <c r="J21" s="61" t="s">
        <v>51</v>
      </c>
      <c r="K21" s="120">
        <f>SUM(K17+K18)</f>
        <v>0</v>
      </c>
      <c r="L21" s="120">
        <f>SUM(L17+L18)</f>
        <v>0</v>
      </c>
      <c r="M21" s="120">
        <f>SUM(M17+M18)</f>
        <v>0</v>
      </c>
      <c r="N21" s="120">
        <f>SUM(N17+N18)</f>
        <v>0</v>
      </c>
      <c r="O21" s="74" t="s">
        <v>52</v>
      </c>
      <c r="P21" s="75" t="s">
        <v>48</v>
      </c>
      <c r="Q21" s="76" t="s">
        <v>53</v>
      </c>
      <c r="R21" s="77" t="s">
        <v>54</v>
      </c>
    </row>
    <row r="22" spans="3:18" x14ac:dyDescent="0.2">
      <c r="C22" s="62" t="s">
        <v>5</v>
      </c>
      <c r="D22" s="70" t="s">
        <v>55</v>
      </c>
      <c r="E22" s="95"/>
      <c r="F22" s="95"/>
      <c r="G22" s="95"/>
      <c r="J22" s="37" t="s">
        <v>56</v>
      </c>
      <c r="K22" s="37"/>
      <c r="L22" s="37"/>
      <c r="M22" s="71"/>
      <c r="N22" s="71"/>
      <c r="O22" s="74" t="s">
        <v>23</v>
      </c>
      <c r="P22" s="75" t="s">
        <v>29</v>
      </c>
      <c r="Q22" s="76" t="s">
        <v>24</v>
      </c>
      <c r="R22" s="77" t="s">
        <v>25</v>
      </c>
    </row>
    <row r="23" spans="3:18" x14ac:dyDescent="0.2">
      <c r="C23" s="62" t="s">
        <v>4</v>
      </c>
      <c r="D23" s="64" t="s">
        <v>57</v>
      </c>
      <c r="E23" s="95"/>
      <c r="F23" s="95"/>
      <c r="G23" s="95"/>
      <c r="J23" s="61"/>
      <c r="K23" s="62"/>
      <c r="L23" s="62"/>
      <c r="M23" s="62"/>
      <c r="N23" s="62"/>
      <c r="O23" s="72"/>
      <c r="P23" s="72"/>
      <c r="Q23" s="72"/>
      <c r="R23" s="72"/>
    </row>
    <row r="24" spans="3:18" x14ac:dyDescent="0.2">
      <c r="C24" s="62" t="s">
        <v>3</v>
      </c>
      <c r="D24" s="64" t="s">
        <v>58</v>
      </c>
      <c r="E24" s="95"/>
      <c r="F24" s="95"/>
      <c r="G24" s="95"/>
      <c r="J24" s="61" t="s">
        <v>13</v>
      </c>
      <c r="K24" s="120">
        <f>SUM(E12,F12,G12,E15,F15,G15,E20,F20,G20,E28,F28,G28,E31,F31,G31)</f>
        <v>0</v>
      </c>
      <c r="L24" s="120">
        <f>SUM(E45,F45,G45,E48,F48,G48,E53,F53,G53,E61,F61,G61,E64,F64,G64)</f>
        <v>0</v>
      </c>
      <c r="M24" s="121">
        <f>SUM(E76,F76,G76,E79,F79,G79,E84,F84,G84,E92,F92,G92,E95,F95,G95)</f>
        <v>0</v>
      </c>
      <c r="N24" s="121">
        <f>SUM(E106,F106,G106,E109,F109,G109,E114,F114,G114,E122,F122,G122,E125,F125,G125)</f>
        <v>0</v>
      </c>
      <c r="O24" s="74" t="s">
        <v>48</v>
      </c>
      <c r="P24" s="75" t="s">
        <v>59</v>
      </c>
      <c r="Q24" s="76" t="s">
        <v>60</v>
      </c>
      <c r="R24" s="77" t="s">
        <v>35</v>
      </c>
    </row>
    <row r="25" spans="3:18" x14ac:dyDescent="0.2">
      <c r="C25" s="62" t="s">
        <v>5</v>
      </c>
      <c r="D25" s="70" t="s">
        <v>61</v>
      </c>
      <c r="E25" s="95"/>
      <c r="F25" s="95"/>
      <c r="G25" s="95"/>
    </row>
    <row r="26" spans="3:18" x14ac:dyDescent="0.2">
      <c r="C26" s="62" t="s">
        <v>15</v>
      </c>
      <c r="D26" s="64" t="s">
        <v>62</v>
      </c>
      <c r="E26" s="95"/>
      <c r="F26" s="95"/>
      <c r="G26" s="95"/>
    </row>
    <row r="27" spans="3:18" ht="30" x14ac:dyDescent="0.2">
      <c r="C27" s="62" t="s">
        <v>3</v>
      </c>
      <c r="D27" s="64" t="s">
        <v>63</v>
      </c>
      <c r="E27" s="95"/>
      <c r="F27" s="95"/>
      <c r="G27" s="95"/>
    </row>
    <row r="28" spans="3:18" x14ac:dyDescent="0.2">
      <c r="C28" s="62" t="s">
        <v>13</v>
      </c>
      <c r="D28" s="64" t="s">
        <v>64</v>
      </c>
      <c r="E28" s="95"/>
      <c r="F28" s="95"/>
      <c r="G28" s="95"/>
    </row>
    <row r="29" spans="3:18" x14ac:dyDescent="0.2">
      <c r="C29" s="62" t="s">
        <v>4</v>
      </c>
      <c r="D29" s="64" t="s">
        <v>65</v>
      </c>
      <c r="E29" s="95"/>
      <c r="F29" s="95"/>
      <c r="G29" s="95"/>
    </row>
    <row r="30" spans="3:18" x14ac:dyDescent="0.2">
      <c r="C30" s="62" t="s">
        <v>5</v>
      </c>
      <c r="D30" s="64" t="s">
        <v>66</v>
      </c>
      <c r="E30" s="95"/>
      <c r="F30" s="95"/>
      <c r="G30" s="95"/>
    </row>
    <row r="31" spans="3:18" ht="30" x14ac:dyDescent="0.2">
      <c r="C31" s="62" t="s">
        <v>13</v>
      </c>
      <c r="D31" s="64" t="s">
        <v>67</v>
      </c>
      <c r="E31" s="95"/>
      <c r="F31" s="95"/>
      <c r="G31" s="95"/>
    </row>
    <row r="32" spans="3:18" x14ac:dyDescent="0.2">
      <c r="C32" s="62" t="s">
        <v>15</v>
      </c>
      <c r="D32" s="70" t="s">
        <v>68</v>
      </c>
      <c r="E32" s="95"/>
      <c r="F32" s="95"/>
      <c r="G32" s="95"/>
    </row>
    <row r="33" spans="2:17" x14ac:dyDescent="0.2">
      <c r="C33" s="62" t="s">
        <v>4</v>
      </c>
      <c r="D33" s="64" t="s">
        <v>69</v>
      </c>
      <c r="E33" s="95"/>
      <c r="F33" s="95"/>
      <c r="G33" s="95"/>
    </row>
    <row r="34" spans="2:17" x14ac:dyDescent="0.2">
      <c r="C34" s="62" t="s">
        <v>5</v>
      </c>
      <c r="D34" s="64" t="s">
        <v>70</v>
      </c>
      <c r="E34" s="95"/>
      <c r="F34" s="95"/>
      <c r="G34" s="95"/>
    </row>
    <row r="35" spans="2:17" x14ac:dyDescent="0.2">
      <c r="C35" s="62" t="s">
        <v>3</v>
      </c>
      <c r="D35" s="64" t="s">
        <v>71</v>
      </c>
      <c r="E35" s="95"/>
      <c r="F35" s="95"/>
      <c r="G35" s="95"/>
    </row>
    <row r="36" spans="2:17" x14ac:dyDescent="0.2">
      <c r="C36" s="62" t="s">
        <v>15</v>
      </c>
      <c r="D36" s="70" t="s">
        <v>72</v>
      </c>
      <c r="E36" s="95"/>
      <c r="F36" s="95"/>
      <c r="G36" s="95"/>
    </row>
    <row r="40" spans="2:17" ht="16" thickBot="1" x14ac:dyDescent="0.25"/>
    <row r="41" spans="2:17" ht="16" thickBot="1" x14ac:dyDescent="0.25">
      <c r="B41" s="139" t="s">
        <v>201</v>
      </c>
      <c r="C41" s="141"/>
      <c r="D41" s="89"/>
      <c r="E41" s="18" t="s">
        <v>199</v>
      </c>
      <c r="J41" s="24" t="s">
        <v>159</v>
      </c>
    </row>
    <row r="43" spans="2:17" x14ac:dyDescent="0.2">
      <c r="C43" s="61" t="s">
        <v>2</v>
      </c>
      <c r="D43" s="61" t="s">
        <v>7</v>
      </c>
      <c r="E43" s="61" t="s">
        <v>8</v>
      </c>
      <c r="F43" s="61" t="s">
        <v>9</v>
      </c>
      <c r="G43" s="61" t="b">
        <v>1</v>
      </c>
      <c r="J43" s="24" t="s">
        <v>162</v>
      </c>
    </row>
    <row r="44" spans="2:17" ht="16" thickBot="1" x14ac:dyDescent="0.25">
      <c r="C44" s="62"/>
      <c r="D44" s="63" t="s">
        <v>10</v>
      </c>
      <c r="E44" s="33" t="s">
        <v>11</v>
      </c>
      <c r="F44" s="33">
        <v>1</v>
      </c>
      <c r="G44" s="33" t="s">
        <v>12</v>
      </c>
      <c r="J44" s="18" t="s">
        <v>166</v>
      </c>
    </row>
    <row r="45" spans="2:17" x14ac:dyDescent="0.2">
      <c r="C45" s="62" t="s">
        <v>13</v>
      </c>
      <c r="D45" s="64" t="s">
        <v>14</v>
      </c>
      <c r="E45" s="94"/>
      <c r="F45" s="95"/>
      <c r="G45" s="95"/>
      <c r="J45" s="96" t="s">
        <v>202</v>
      </c>
      <c r="K45" s="97" t="str" cm="1">
        <f t="array" ref="K45">_xlfn.LET(
  _xlpm.dataRange, E12:G36,
  _xlpm.rowCounts, _xlfn.BYROW(_xlpm.dataRange, _xlfn.LAMBDA(_xlpm.row, COUNTA(_xlpm.row))),
  _xlpm.valid, AND(_xlpm.rowCounts=1),
  IF(COUNTA(_xlpm.dataRange)=0, "", IF(_xlpm.valid, "Complete", "Incomplete"))
)</f>
        <v/>
      </c>
    </row>
    <row r="46" spans="2:17" x14ac:dyDescent="0.2">
      <c r="C46" s="62" t="s">
        <v>15</v>
      </c>
      <c r="D46" s="64" t="s">
        <v>16</v>
      </c>
      <c r="E46" s="95"/>
      <c r="F46" s="95"/>
      <c r="G46" s="95"/>
      <c r="J46" s="98" t="s">
        <v>191</v>
      </c>
      <c r="K46" s="99" t="str" cm="1">
        <f t="array" ref="K46">_xlfn.LET(
  _xlpm.dataRange, E45:G69,
  _xlpm.rowCounts, _xlfn.BYROW(_xlpm.dataRange, _xlfn.LAMBDA(_xlpm.row, COUNTA(_xlpm.row))),
  _xlpm.valid, AND(_xlpm.rowCounts=1),
  IF(COUNTA(_xlpm.dataRange)=0, "", IF(_xlpm.valid, "Complete", "Incomplete"))
)</f>
        <v/>
      </c>
    </row>
    <row r="47" spans="2:17" ht="30" x14ac:dyDescent="0.2">
      <c r="C47" s="62" t="s">
        <v>3</v>
      </c>
      <c r="D47" s="64" t="s">
        <v>18</v>
      </c>
      <c r="E47" s="95"/>
      <c r="F47" s="95"/>
      <c r="G47" s="95"/>
      <c r="J47" s="98" t="s">
        <v>160</v>
      </c>
      <c r="K47" s="99" t="str" cm="1">
        <f t="array" ref="K47">_xlfn.LET(
  _xlpm.dataRange, E76:G100,
  _xlpm.rowCounts, _xlfn.BYROW(_xlpm.dataRange, _xlfn.LAMBDA(_xlpm.row, COUNTA(_xlpm.row))),
  _xlpm.valid, AND(_xlpm.rowCounts=1),
  IF(COUNTA(_xlpm.dataRange)=0, "", IF(_xlpm.valid, "Complete", "Incomplete"))
)</f>
        <v/>
      </c>
      <c r="N47" s="187"/>
      <c r="O47" s="187"/>
      <c r="P47" s="187"/>
      <c r="Q47" s="73"/>
    </row>
    <row r="48" spans="2:17" ht="31" thickBot="1" x14ac:dyDescent="0.25">
      <c r="C48" s="62" t="s">
        <v>13</v>
      </c>
      <c r="D48" s="64" t="s">
        <v>22</v>
      </c>
      <c r="E48" s="95"/>
      <c r="F48" s="95"/>
      <c r="G48" s="95"/>
      <c r="J48" s="100" t="s">
        <v>161</v>
      </c>
      <c r="K48" s="101" t="str" cm="1">
        <f t="array" ref="K48">_xlfn.LET(
  _xlpm.dataRange, E106:G130,
  _xlpm.rowCounts, _xlfn.BYROW(_xlpm.dataRange, _xlfn.LAMBDA(_xlpm.row, COUNTA(_xlpm.row))),
  _xlpm.valid, AND(_xlpm.rowCounts=1),
  IF(COUNTA(_xlpm.dataRange)=0, "", IF(_xlpm.valid, "Complete", "Incomplete"))
)</f>
        <v/>
      </c>
    </row>
    <row r="49" spans="3:7" x14ac:dyDescent="0.2">
      <c r="C49" s="62" t="s">
        <v>4</v>
      </c>
      <c r="D49" s="64" t="s">
        <v>26</v>
      </c>
      <c r="E49" s="95"/>
      <c r="F49" s="95"/>
      <c r="G49" s="95"/>
    </row>
    <row r="50" spans="3:7" x14ac:dyDescent="0.2">
      <c r="C50" s="62" t="s">
        <v>5</v>
      </c>
      <c r="D50" s="64" t="s">
        <v>31</v>
      </c>
      <c r="E50" s="95"/>
      <c r="F50" s="95"/>
      <c r="G50" s="95"/>
    </row>
    <row r="51" spans="3:7" x14ac:dyDescent="0.2">
      <c r="C51" s="62" t="s">
        <v>4</v>
      </c>
      <c r="D51" s="70" t="s">
        <v>34</v>
      </c>
      <c r="E51" s="95"/>
      <c r="F51" s="95"/>
      <c r="G51" s="95"/>
    </row>
    <row r="52" spans="3:7" x14ac:dyDescent="0.2">
      <c r="C52" s="62" t="s">
        <v>3</v>
      </c>
      <c r="D52" s="64" t="s">
        <v>39</v>
      </c>
      <c r="E52" s="95"/>
      <c r="F52" s="95"/>
      <c r="G52" s="95"/>
    </row>
    <row r="53" spans="3:7" x14ac:dyDescent="0.2">
      <c r="C53" s="62" t="s">
        <v>13</v>
      </c>
      <c r="D53" s="64" t="s">
        <v>45</v>
      </c>
      <c r="E53" s="95"/>
      <c r="F53" s="95"/>
      <c r="G53" s="95"/>
    </row>
    <row r="54" spans="3:7" x14ac:dyDescent="0.2">
      <c r="C54" s="62" t="s">
        <v>15</v>
      </c>
      <c r="D54" s="64" t="s">
        <v>50</v>
      </c>
      <c r="E54" s="95"/>
      <c r="F54" s="95"/>
      <c r="G54" s="95"/>
    </row>
    <row r="55" spans="3:7" x14ac:dyDescent="0.2">
      <c r="C55" s="62" t="s">
        <v>5</v>
      </c>
      <c r="D55" s="70" t="s">
        <v>55</v>
      </c>
      <c r="E55" s="95"/>
      <c r="F55" s="95"/>
      <c r="G55" s="95"/>
    </row>
    <row r="56" spans="3:7" x14ac:dyDescent="0.2">
      <c r="C56" s="62" t="s">
        <v>4</v>
      </c>
      <c r="D56" s="64" t="s">
        <v>57</v>
      </c>
      <c r="E56" s="95"/>
      <c r="F56" s="95"/>
      <c r="G56" s="95"/>
    </row>
    <row r="57" spans="3:7" x14ac:dyDescent="0.2">
      <c r="C57" s="62" t="s">
        <v>3</v>
      </c>
      <c r="D57" s="64" t="s">
        <v>58</v>
      </c>
      <c r="E57" s="95"/>
      <c r="F57" s="95"/>
      <c r="G57" s="95"/>
    </row>
    <row r="58" spans="3:7" x14ac:dyDescent="0.2">
      <c r="C58" s="62" t="s">
        <v>5</v>
      </c>
      <c r="D58" s="70" t="s">
        <v>61</v>
      </c>
      <c r="E58" s="95"/>
      <c r="F58" s="95"/>
      <c r="G58" s="95"/>
    </row>
    <row r="59" spans="3:7" x14ac:dyDescent="0.2">
      <c r="C59" s="62" t="s">
        <v>15</v>
      </c>
      <c r="D59" s="64" t="s">
        <v>62</v>
      </c>
      <c r="E59" s="95"/>
      <c r="F59" s="95"/>
      <c r="G59" s="95"/>
    </row>
    <row r="60" spans="3:7" ht="30" x14ac:dyDescent="0.2">
      <c r="C60" s="62" t="s">
        <v>3</v>
      </c>
      <c r="D60" s="64" t="s">
        <v>63</v>
      </c>
      <c r="E60" s="95"/>
      <c r="F60" s="95"/>
      <c r="G60" s="95"/>
    </row>
    <row r="61" spans="3:7" x14ac:dyDescent="0.2">
      <c r="C61" s="62" t="s">
        <v>13</v>
      </c>
      <c r="D61" s="64" t="s">
        <v>64</v>
      </c>
      <c r="E61" s="95"/>
      <c r="F61" s="95"/>
      <c r="G61" s="95"/>
    </row>
    <row r="62" spans="3:7" x14ac:dyDescent="0.2">
      <c r="C62" s="62" t="s">
        <v>4</v>
      </c>
      <c r="D62" s="64" t="s">
        <v>65</v>
      </c>
      <c r="E62" s="95"/>
      <c r="F62" s="95"/>
      <c r="G62" s="95"/>
    </row>
    <row r="63" spans="3:7" x14ac:dyDescent="0.2">
      <c r="C63" s="62" t="s">
        <v>5</v>
      </c>
      <c r="D63" s="64" t="s">
        <v>66</v>
      </c>
      <c r="E63" s="95"/>
      <c r="F63" s="95"/>
      <c r="G63" s="95"/>
    </row>
    <row r="64" spans="3:7" ht="30" x14ac:dyDescent="0.2">
      <c r="C64" s="62" t="s">
        <v>13</v>
      </c>
      <c r="D64" s="64" t="s">
        <v>67</v>
      </c>
      <c r="E64" s="95"/>
      <c r="F64" s="95"/>
      <c r="G64" s="95"/>
    </row>
    <row r="65" spans="3:17" x14ac:dyDescent="0.2">
      <c r="C65" s="62" t="s">
        <v>15</v>
      </c>
      <c r="D65" s="70" t="s">
        <v>68</v>
      </c>
      <c r="E65" s="95"/>
      <c r="F65" s="95"/>
      <c r="G65" s="95"/>
    </row>
    <row r="66" spans="3:17" x14ac:dyDescent="0.2">
      <c r="C66" s="62" t="s">
        <v>4</v>
      </c>
      <c r="D66" s="64" t="s">
        <v>69</v>
      </c>
      <c r="E66" s="95"/>
      <c r="F66" s="95"/>
      <c r="G66" s="95"/>
    </row>
    <row r="67" spans="3:17" x14ac:dyDescent="0.2">
      <c r="C67" s="62" t="s">
        <v>5</v>
      </c>
      <c r="D67" s="64" t="s">
        <v>70</v>
      </c>
      <c r="E67" s="95"/>
      <c r="F67" s="95"/>
      <c r="G67" s="95"/>
    </row>
    <row r="68" spans="3:17" x14ac:dyDescent="0.2">
      <c r="C68" s="62" t="s">
        <v>3</v>
      </c>
      <c r="D68" s="64" t="s">
        <v>71</v>
      </c>
      <c r="E68" s="95"/>
      <c r="F68" s="95"/>
      <c r="G68" s="95"/>
    </row>
    <row r="69" spans="3:17" x14ac:dyDescent="0.2">
      <c r="C69" s="62" t="s">
        <v>15</v>
      </c>
      <c r="D69" s="70" t="s">
        <v>72</v>
      </c>
      <c r="E69" s="95"/>
      <c r="F69" s="95"/>
      <c r="G69" s="95"/>
    </row>
    <row r="72" spans="3:17" x14ac:dyDescent="0.2">
      <c r="C72" s="24" t="s">
        <v>73</v>
      </c>
    </row>
    <row r="74" spans="3:17" x14ac:dyDescent="0.2">
      <c r="C74" s="61" t="s">
        <v>2</v>
      </c>
      <c r="D74" s="61" t="s">
        <v>7</v>
      </c>
      <c r="E74" s="61" t="s">
        <v>8</v>
      </c>
      <c r="F74" s="61" t="s">
        <v>9</v>
      </c>
      <c r="G74" s="61" t="b">
        <v>1</v>
      </c>
    </row>
    <row r="75" spans="3:17" x14ac:dyDescent="0.2">
      <c r="C75" s="62"/>
      <c r="D75" s="63" t="s">
        <v>10</v>
      </c>
      <c r="E75" s="33" t="s">
        <v>11</v>
      </c>
      <c r="F75" s="33">
        <v>1</v>
      </c>
      <c r="G75" s="33" t="s">
        <v>12</v>
      </c>
    </row>
    <row r="76" spans="3:17" x14ac:dyDescent="0.2">
      <c r="C76" s="62" t="s">
        <v>13</v>
      </c>
      <c r="D76" s="64" t="s">
        <v>14</v>
      </c>
      <c r="E76" s="94"/>
      <c r="F76" s="95"/>
      <c r="G76" s="95"/>
    </row>
    <row r="77" spans="3:17" x14ac:dyDescent="0.2">
      <c r="C77" s="62" t="s">
        <v>15</v>
      </c>
      <c r="D77" s="64" t="s">
        <v>16</v>
      </c>
      <c r="E77" s="95"/>
      <c r="F77" s="95"/>
      <c r="G77" s="95"/>
      <c r="J77" s="24"/>
    </row>
    <row r="78" spans="3:17" ht="30" x14ac:dyDescent="0.2">
      <c r="C78" s="62" t="s">
        <v>3</v>
      </c>
      <c r="D78" s="64" t="s">
        <v>18</v>
      </c>
      <c r="E78" s="95"/>
      <c r="F78" s="95"/>
      <c r="G78" s="95"/>
      <c r="N78" s="187"/>
      <c r="O78" s="187"/>
      <c r="P78" s="187"/>
      <c r="Q78" s="73"/>
    </row>
    <row r="79" spans="3:17" ht="30" x14ac:dyDescent="0.2">
      <c r="C79" s="62" t="s">
        <v>13</v>
      </c>
      <c r="D79" s="64" t="s">
        <v>22</v>
      </c>
      <c r="E79" s="95"/>
      <c r="F79" s="95"/>
      <c r="G79" s="95"/>
    </row>
    <row r="80" spans="3:17" x14ac:dyDescent="0.2">
      <c r="C80" s="62" t="s">
        <v>4</v>
      </c>
      <c r="D80" s="64" t="s">
        <v>26</v>
      </c>
      <c r="E80" s="95"/>
      <c r="F80" s="95"/>
      <c r="G80" s="95"/>
    </row>
    <row r="81" spans="3:7" x14ac:dyDescent="0.2">
      <c r="C81" s="62" t="s">
        <v>5</v>
      </c>
      <c r="D81" s="64" t="s">
        <v>31</v>
      </c>
      <c r="E81" s="95"/>
      <c r="F81" s="95"/>
      <c r="G81" s="95"/>
    </row>
    <row r="82" spans="3:7" x14ac:dyDescent="0.2">
      <c r="C82" s="62" t="s">
        <v>4</v>
      </c>
      <c r="D82" s="70" t="s">
        <v>34</v>
      </c>
      <c r="E82" s="95"/>
      <c r="F82" s="95"/>
      <c r="G82" s="95"/>
    </row>
    <row r="83" spans="3:7" x14ac:dyDescent="0.2">
      <c r="C83" s="62" t="s">
        <v>3</v>
      </c>
      <c r="D83" s="64" t="s">
        <v>39</v>
      </c>
      <c r="E83" s="95"/>
      <c r="F83" s="95"/>
      <c r="G83" s="95"/>
    </row>
    <row r="84" spans="3:7" x14ac:dyDescent="0.2">
      <c r="C84" s="62" t="s">
        <v>13</v>
      </c>
      <c r="D84" s="64" t="s">
        <v>45</v>
      </c>
      <c r="E84" s="95"/>
      <c r="F84" s="95"/>
      <c r="G84" s="95"/>
    </row>
    <row r="85" spans="3:7" x14ac:dyDescent="0.2">
      <c r="C85" s="62" t="s">
        <v>15</v>
      </c>
      <c r="D85" s="64" t="s">
        <v>50</v>
      </c>
      <c r="E85" s="95"/>
      <c r="F85" s="95"/>
      <c r="G85" s="95"/>
    </row>
    <row r="86" spans="3:7" x14ac:dyDescent="0.2">
      <c r="C86" s="62" t="s">
        <v>5</v>
      </c>
      <c r="D86" s="70" t="s">
        <v>55</v>
      </c>
      <c r="E86" s="95"/>
      <c r="F86" s="95"/>
      <c r="G86" s="95"/>
    </row>
    <row r="87" spans="3:7" x14ac:dyDescent="0.2">
      <c r="C87" s="62" t="s">
        <v>4</v>
      </c>
      <c r="D87" s="64" t="s">
        <v>57</v>
      </c>
      <c r="E87" s="95"/>
      <c r="F87" s="95"/>
      <c r="G87" s="95"/>
    </row>
    <row r="88" spans="3:7" x14ac:dyDescent="0.2">
      <c r="C88" s="62" t="s">
        <v>3</v>
      </c>
      <c r="D88" s="64" t="s">
        <v>58</v>
      </c>
      <c r="E88" s="95"/>
      <c r="F88" s="95"/>
      <c r="G88" s="95"/>
    </row>
    <row r="89" spans="3:7" x14ac:dyDescent="0.2">
      <c r="C89" s="62" t="s">
        <v>5</v>
      </c>
      <c r="D89" s="70" t="s">
        <v>61</v>
      </c>
      <c r="E89" s="95"/>
      <c r="F89" s="95"/>
      <c r="G89" s="95"/>
    </row>
    <row r="90" spans="3:7" x14ac:dyDescent="0.2">
      <c r="C90" s="62" t="s">
        <v>15</v>
      </c>
      <c r="D90" s="64" t="s">
        <v>62</v>
      </c>
      <c r="E90" s="95"/>
      <c r="F90" s="95"/>
      <c r="G90" s="95"/>
    </row>
    <row r="91" spans="3:7" ht="30" x14ac:dyDescent="0.2">
      <c r="C91" s="62" t="s">
        <v>3</v>
      </c>
      <c r="D91" s="64" t="s">
        <v>63</v>
      </c>
      <c r="E91" s="95"/>
      <c r="F91" s="95"/>
      <c r="G91" s="95"/>
    </row>
    <row r="92" spans="3:7" x14ac:dyDescent="0.2">
      <c r="C92" s="62" t="s">
        <v>13</v>
      </c>
      <c r="D92" s="64" t="s">
        <v>64</v>
      </c>
      <c r="E92" s="95"/>
      <c r="F92" s="95"/>
      <c r="G92" s="95"/>
    </row>
    <row r="93" spans="3:7" x14ac:dyDescent="0.2">
      <c r="C93" s="62" t="s">
        <v>4</v>
      </c>
      <c r="D93" s="64" t="s">
        <v>65</v>
      </c>
      <c r="E93" s="95"/>
      <c r="F93" s="95"/>
      <c r="G93" s="95"/>
    </row>
    <row r="94" spans="3:7" x14ac:dyDescent="0.2">
      <c r="C94" s="62" t="s">
        <v>5</v>
      </c>
      <c r="D94" s="64" t="s">
        <v>66</v>
      </c>
      <c r="E94" s="95"/>
      <c r="F94" s="95"/>
      <c r="G94" s="95"/>
    </row>
    <row r="95" spans="3:7" ht="30" x14ac:dyDescent="0.2">
      <c r="C95" s="62" t="s">
        <v>13</v>
      </c>
      <c r="D95" s="64" t="s">
        <v>67</v>
      </c>
      <c r="E95" s="95"/>
      <c r="F95" s="95"/>
      <c r="G95" s="95"/>
    </row>
    <row r="96" spans="3:7" x14ac:dyDescent="0.2">
      <c r="C96" s="62" t="s">
        <v>15</v>
      </c>
      <c r="D96" s="70" t="s">
        <v>68</v>
      </c>
      <c r="E96" s="95"/>
      <c r="F96" s="95"/>
      <c r="G96" s="95"/>
    </row>
    <row r="97" spans="3:7" x14ac:dyDescent="0.2">
      <c r="C97" s="62" t="s">
        <v>4</v>
      </c>
      <c r="D97" s="64" t="s">
        <v>69</v>
      </c>
      <c r="E97" s="95"/>
      <c r="F97" s="95"/>
      <c r="G97" s="95"/>
    </row>
    <row r="98" spans="3:7" x14ac:dyDescent="0.2">
      <c r="C98" s="62" t="s">
        <v>5</v>
      </c>
      <c r="D98" s="64" t="s">
        <v>70</v>
      </c>
      <c r="E98" s="95"/>
      <c r="F98" s="95"/>
      <c r="G98" s="95"/>
    </row>
    <row r="99" spans="3:7" x14ac:dyDescent="0.2">
      <c r="C99" s="62" t="s">
        <v>3</v>
      </c>
      <c r="D99" s="64" t="s">
        <v>71</v>
      </c>
      <c r="E99" s="95"/>
      <c r="F99" s="95"/>
      <c r="G99" s="95"/>
    </row>
    <row r="100" spans="3:7" x14ac:dyDescent="0.2">
      <c r="C100" s="62" t="s">
        <v>15</v>
      </c>
      <c r="D100" s="70" t="s">
        <v>72</v>
      </c>
      <c r="E100" s="95"/>
      <c r="F100" s="95"/>
      <c r="G100" s="95"/>
    </row>
    <row r="102" spans="3:7" x14ac:dyDescent="0.2">
      <c r="C102" s="24" t="s">
        <v>74</v>
      </c>
    </row>
    <row r="104" spans="3:7" x14ac:dyDescent="0.2">
      <c r="C104" s="61" t="s">
        <v>2</v>
      </c>
      <c r="D104" s="61" t="s">
        <v>7</v>
      </c>
      <c r="E104" s="61" t="s">
        <v>8</v>
      </c>
      <c r="F104" s="61" t="s">
        <v>9</v>
      </c>
      <c r="G104" s="61" t="b">
        <v>1</v>
      </c>
    </row>
    <row r="105" spans="3:7" x14ac:dyDescent="0.2">
      <c r="C105" s="62"/>
      <c r="D105" s="63" t="s">
        <v>10</v>
      </c>
      <c r="E105" s="33" t="s">
        <v>11</v>
      </c>
      <c r="F105" s="33">
        <v>1</v>
      </c>
      <c r="G105" s="33" t="s">
        <v>12</v>
      </c>
    </row>
    <row r="106" spans="3:7" x14ac:dyDescent="0.2">
      <c r="C106" s="62" t="s">
        <v>13</v>
      </c>
      <c r="D106" s="64" t="s">
        <v>14</v>
      </c>
      <c r="E106" s="94"/>
      <c r="F106" s="95"/>
      <c r="G106" s="95"/>
    </row>
    <row r="107" spans="3:7" x14ac:dyDescent="0.2">
      <c r="C107" s="62" t="s">
        <v>15</v>
      </c>
      <c r="D107" s="64" t="s">
        <v>16</v>
      </c>
      <c r="E107" s="95"/>
      <c r="F107" s="95"/>
      <c r="G107" s="95"/>
    </row>
    <row r="108" spans="3:7" ht="30" x14ac:dyDescent="0.2">
      <c r="C108" s="62" t="s">
        <v>3</v>
      </c>
      <c r="D108" s="64" t="s">
        <v>18</v>
      </c>
      <c r="E108" s="95"/>
      <c r="F108" s="95"/>
      <c r="G108" s="95"/>
    </row>
    <row r="109" spans="3:7" ht="30" x14ac:dyDescent="0.2">
      <c r="C109" s="62" t="s">
        <v>13</v>
      </c>
      <c r="D109" s="64" t="s">
        <v>22</v>
      </c>
      <c r="E109" s="95"/>
      <c r="F109" s="95"/>
      <c r="G109" s="95"/>
    </row>
    <row r="110" spans="3:7" x14ac:dyDescent="0.2">
      <c r="C110" s="62" t="s">
        <v>4</v>
      </c>
      <c r="D110" s="64" t="s">
        <v>26</v>
      </c>
      <c r="E110" s="95"/>
      <c r="F110" s="95"/>
      <c r="G110" s="95"/>
    </row>
    <row r="111" spans="3:7" x14ac:dyDescent="0.2">
      <c r="C111" s="62" t="s">
        <v>5</v>
      </c>
      <c r="D111" s="64" t="s">
        <v>31</v>
      </c>
      <c r="E111" s="95"/>
      <c r="F111" s="95"/>
      <c r="G111" s="95"/>
    </row>
    <row r="112" spans="3:7" x14ac:dyDescent="0.2">
      <c r="C112" s="62" t="s">
        <v>4</v>
      </c>
      <c r="D112" s="70" t="s">
        <v>34</v>
      </c>
      <c r="E112" s="95"/>
      <c r="F112" s="95"/>
      <c r="G112" s="95"/>
    </row>
    <row r="113" spans="3:7" x14ac:dyDescent="0.2">
      <c r="C113" s="62" t="s">
        <v>3</v>
      </c>
      <c r="D113" s="64" t="s">
        <v>39</v>
      </c>
      <c r="E113" s="95"/>
      <c r="F113" s="95"/>
      <c r="G113" s="95"/>
    </row>
    <row r="114" spans="3:7" x14ac:dyDescent="0.2">
      <c r="C114" s="62" t="s">
        <v>13</v>
      </c>
      <c r="D114" s="64" t="s">
        <v>45</v>
      </c>
      <c r="E114" s="95"/>
      <c r="F114" s="95"/>
      <c r="G114" s="95"/>
    </row>
    <row r="115" spans="3:7" x14ac:dyDescent="0.2">
      <c r="C115" s="62" t="s">
        <v>15</v>
      </c>
      <c r="D115" s="64" t="s">
        <v>50</v>
      </c>
      <c r="E115" s="95"/>
      <c r="F115" s="95"/>
      <c r="G115" s="95"/>
    </row>
    <row r="116" spans="3:7" x14ac:dyDescent="0.2">
      <c r="C116" s="62" t="s">
        <v>5</v>
      </c>
      <c r="D116" s="70" t="s">
        <v>55</v>
      </c>
      <c r="E116" s="95"/>
      <c r="F116" s="95"/>
      <c r="G116" s="95"/>
    </row>
    <row r="117" spans="3:7" x14ac:dyDescent="0.2">
      <c r="C117" s="62" t="s">
        <v>4</v>
      </c>
      <c r="D117" s="64" t="s">
        <v>57</v>
      </c>
      <c r="E117" s="95"/>
      <c r="F117" s="95"/>
      <c r="G117" s="95"/>
    </row>
    <row r="118" spans="3:7" x14ac:dyDescent="0.2">
      <c r="C118" s="62" t="s">
        <v>3</v>
      </c>
      <c r="D118" s="64" t="s">
        <v>58</v>
      </c>
      <c r="E118" s="95"/>
      <c r="F118" s="95"/>
      <c r="G118" s="95"/>
    </row>
    <row r="119" spans="3:7" x14ac:dyDescent="0.2">
      <c r="C119" s="62" t="s">
        <v>5</v>
      </c>
      <c r="D119" s="70" t="s">
        <v>61</v>
      </c>
      <c r="E119" s="95"/>
      <c r="F119" s="95"/>
      <c r="G119" s="95"/>
    </row>
    <row r="120" spans="3:7" x14ac:dyDescent="0.2">
      <c r="C120" s="62" t="s">
        <v>15</v>
      </c>
      <c r="D120" s="64" t="s">
        <v>62</v>
      </c>
      <c r="E120" s="95"/>
      <c r="F120" s="95"/>
      <c r="G120" s="95"/>
    </row>
    <row r="121" spans="3:7" ht="30" x14ac:dyDescent="0.2">
      <c r="C121" s="62" t="s">
        <v>3</v>
      </c>
      <c r="D121" s="64" t="s">
        <v>63</v>
      </c>
      <c r="E121" s="95"/>
      <c r="F121" s="95"/>
      <c r="G121" s="95"/>
    </row>
    <row r="122" spans="3:7" x14ac:dyDescent="0.2">
      <c r="C122" s="62" t="s">
        <v>13</v>
      </c>
      <c r="D122" s="64" t="s">
        <v>64</v>
      </c>
      <c r="E122" s="95"/>
      <c r="F122" s="95"/>
      <c r="G122" s="95"/>
    </row>
    <row r="123" spans="3:7" x14ac:dyDescent="0.2">
      <c r="C123" s="62" t="s">
        <v>4</v>
      </c>
      <c r="D123" s="64" t="s">
        <v>65</v>
      </c>
      <c r="E123" s="95"/>
      <c r="F123" s="95"/>
      <c r="G123" s="95"/>
    </row>
    <row r="124" spans="3:7" x14ac:dyDescent="0.2">
      <c r="C124" s="62" t="s">
        <v>5</v>
      </c>
      <c r="D124" s="64" t="s">
        <v>66</v>
      </c>
      <c r="E124" s="95"/>
      <c r="F124" s="95"/>
      <c r="G124" s="95"/>
    </row>
    <row r="125" spans="3:7" ht="30" x14ac:dyDescent="0.2">
      <c r="C125" s="62" t="s">
        <v>13</v>
      </c>
      <c r="D125" s="64" t="s">
        <v>67</v>
      </c>
      <c r="E125" s="95"/>
      <c r="F125" s="95"/>
      <c r="G125" s="95"/>
    </row>
    <row r="126" spans="3:7" x14ac:dyDescent="0.2">
      <c r="C126" s="62" t="s">
        <v>15</v>
      </c>
      <c r="D126" s="70" t="s">
        <v>68</v>
      </c>
      <c r="E126" s="95"/>
      <c r="F126" s="95"/>
      <c r="G126" s="95"/>
    </row>
    <row r="127" spans="3:7" x14ac:dyDescent="0.2">
      <c r="C127" s="62" t="s">
        <v>4</v>
      </c>
      <c r="D127" s="64" t="s">
        <v>69</v>
      </c>
      <c r="E127" s="95"/>
      <c r="F127" s="95"/>
      <c r="G127" s="95"/>
    </row>
    <row r="128" spans="3:7" x14ac:dyDescent="0.2">
      <c r="C128" s="62" t="s">
        <v>5</v>
      </c>
      <c r="D128" s="64" t="s">
        <v>70</v>
      </c>
      <c r="E128" s="95"/>
      <c r="F128" s="95"/>
      <c r="G128" s="95"/>
    </row>
    <row r="129" spans="3:7" x14ac:dyDescent="0.2">
      <c r="C129" s="62" t="s">
        <v>3</v>
      </c>
      <c r="D129" s="64" t="s">
        <v>71</v>
      </c>
      <c r="E129" s="95"/>
      <c r="F129" s="95"/>
      <c r="G129" s="95"/>
    </row>
    <row r="130" spans="3:7" x14ac:dyDescent="0.2">
      <c r="C130" s="62" t="s">
        <v>15</v>
      </c>
      <c r="D130" s="70" t="s">
        <v>72</v>
      </c>
      <c r="E130" s="95"/>
      <c r="F130" s="95"/>
      <c r="G130" s="95"/>
    </row>
  </sheetData>
  <sheetProtection algorithmName="SHA-512" hashValue="BRAo5xMITgQQNxypNQLadSTXIeBHLuLSXv+/AXHXXzUXKeqKf9Wrq923dVVsnMPauLo0GtpVnVmhvN8rAQZfKA==" saltValue="oPIF5/k638Sw3V8RWuzHe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54DC6A42-5833-4FD7-83C3-0AB6F6B22273}">
      <formula1>45170</formula1>
      <formula2>49552</formula2>
    </dataValidation>
  </dataValidations>
  <pageMargins left="0.7" right="0.7" top="0.75" bottom="0.75" header="0.3" footer="0.3"/>
  <pageSetup scale="43" fitToHeight="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03C3-B16A-47F2-BAB5-BFE3B6F1BA47}">
  <dimension ref="E7:H19"/>
  <sheetViews>
    <sheetView showGridLines="0" topLeftCell="A2" workbookViewId="0">
      <selection activeCell="H10" sqref="H10"/>
    </sheetView>
  </sheetViews>
  <sheetFormatPr baseColWidth="10" defaultColWidth="8.83203125" defaultRowHeight="15" x14ac:dyDescent="0.2"/>
  <cols>
    <col min="6" max="6" width="19.6640625" customWidth="1"/>
    <col min="7" max="7" width="2" bestFit="1" customWidth="1"/>
    <col min="8" max="8" width="13.33203125" bestFit="1" customWidth="1"/>
  </cols>
  <sheetData>
    <row r="7" spans="5:8" x14ac:dyDescent="0.2">
      <c r="E7" s="1" t="s">
        <v>193</v>
      </c>
    </row>
    <row r="8" spans="5:8" ht="16" thickBot="1" x14ac:dyDescent="0.25"/>
    <row r="9" spans="5:8" x14ac:dyDescent="0.2">
      <c r="E9" s="127" t="s">
        <v>194</v>
      </c>
      <c r="F9" s="135" t="s">
        <v>195</v>
      </c>
      <c r="G9" s="128">
        <v>1</v>
      </c>
      <c r="H9" s="45" t="str">
        <f>IF('SDQ Period 1'!D6="", "", 'SDQ Period 1'!D6)</f>
        <v/>
      </c>
    </row>
    <row r="10" spans="5:8" x14ac:dyDescent="0.2">
      <c r="E10" s="113"/>
      <c r="F10" s="136" t="s">
        <v>195</v>
      </c>
      <c r="G10" s="8">
        <v>2</v>
      </c>
      <c r="H10" s="47" t="str">
        <f>IF('SDQ Period 2'!D6="", "", 'SDQ Period 2'!D6)</f>
        <v/>
      </c>
    </row>
    <row r="11" spans="5:8" x14ac:dyDescent="0.2">
      <c r="E11" s="113"/>
      <c r="F11" s="136" t="s">
        <v>195</v>
      </c>
      <c r="G11" s="8">
        <v>3</v>
      </c>
      <c r="H11" s="47" t="str">
        <f>IF('SDQ Period 3'!D6="", "", 'SDQ Period 3'!D6)</f>
        <v/>
      </c>
    </row>
    <row r="12" spans="5:8" x14ac:dyDescent="0.2">
      <c r="E12" s="113"/>
      <c r="F12" s="136" t="s">
        <v>195</v>
      </c>
      <c r="G12" s="8">
        <v>4</v>
      </c>
      <c r="H12" s="47" t="str">
        <f>IF('SDQ Period 4'!D6="", "", 'SDQ Period 4'!D6)</f>
        <v/>
      </c>
    </row>
    <row r="13" spans="5:8" x14ac:dyDescent="0.2">
      <c r="E13" s="113"/>
      <c r="F13" s="136" t="s">
        <v>195</v>
      </c>
      <c r="G13" s="8">
        <v>5</v>
      </c>
      <c r="H13" s="47" t="str">
        <f>IF('SDQ Period 5'!D6="", "", 'SDQ Period 5'!D6)</f>
        <v/>
      </c>
    </row>
    <row r="14" spans="5:8" x14ac:dyDescent="0.2">
      <c r="E14" s="113"/>
      <c r="F14" s="136" t="s">
        <v>195</v>
      </c>
      <c r="G14" s="8">
        <v>6</v>
      </c>
      <c r="H14" s="47" t="str">
        <f>IF('SDQ Period 6'!D6="", "", 'SDQ Period 6'!D6)</f>
        <v/>
      </c>
    </row>
    <row r="15" spans="5:8" x14ac:dyDescent="0.2">
      <c r="E15" s="113"/>
      <c r="F15" s="136" t="s">
        <v>195</v>
      </c>
      <c r="G15" s="8">
        <v>7</v>
      </c>
      <c r="H15" s="47" t="str">
        <f>IF('SDQ Period 1'!D7="", "", 'SDQ Period 1'!D7)</f>
        <v/>
      </c>
    </row>
    <row r="16" spans="5:8" x14ac:dyDescent="0.2">
      <c r="E16" s="113"/>
      <c r="F16" s="136" t="s">
        <v>195</v>
      </c>
      <c r="G16" s="8">
        <v>8</v>
      </c>
      <c r="H16" s="47" t="str">
        <f>IF('SDQ Period 8'!D6="", "", 'SDQ Period 8'!D6)</f>
        <v/>
      </c>
    </row>
    <row r="17" spans="5:8" ht="16" thickBot="1" x14ac:dyDescent="0.25">
      <c r="E17" s="130"/>
      <c r="F17" s="137" t="s">
        <v>195</v>
      </c>
      <c r="G17" s="131">
        <v>9</v>
      </c>
      <c r="H17" s="49" t="str">
        <f>IF('SDQ Period 9'!D6="", "", 'SDQ Period 9'!D6)</f>
        <v/>
      </c>
    </row>
    <row r="18" spans="5:8" ht="16" thickBot="1" x14ac:dyDescent="0.25"/>
    <row r="19" spans="5:8" ht="16" thickBot="1" x14ac:dyDescent="0.25">
      <c r="H19" s="80" t="str" cm="1">
        <f t="array" ref="H19">IF(COUNT(H9:H17)&lt;2, "", IF(SUMPRODUCT((ISNUMBER(H10:H17))*(ISNUMBER(H9:H16))*(H10:H17&lt;H9:H16))&gt;0, "⚠️ Not in Order", "✓ All in Order"))</f>
        <v/>
      </c>
    </row>
  </sheetData>
  <sheetProtection algorithmName="SHA-512" hashValue="vPf/UHC1x65j7QbtRJpEWndjb+/+3HoITX/5gyJ3kW21TtiFV0CE4GGD6gxbL/GIXlgD4+oC7gEKnRkG0lCtlA==" saltValue="nE6l93pYlBk1IoqTzTVUrg==" spinCount="100000"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44FA7-CEBA-4850-B449-77C97936294D}">
  <sheetPr>
    <pageSetUpPr fitToPage="1"/>
  </sheetPr>
  <dimension ref="B4:R15"/>
  <sheetViews>
    <sheetView showGridLines="0" workbookViewId="0">
      <selection activeCell="K18" sqref="K18"/>
    </sheetView>
  </sheetViews>
  <sheetFormatPr baseColWidth="10" defaultColWidth="8.83203125" defaultRowHeight="15" x14ac:dyDescent="0.2"/>
  <cols>
    <col min="2" max="2" width="21.5" bestFit="1" customWidth="1"/>
    <col min="3" max="4" width="18.5" customWidth="1"/>
    <col min="5" max="7" width="19.5" customWidth="1"/>
    <col min="8" max="10" width="17.1640625" customWidth="1"/>
    <col min="11" max="14" width="14.6640625" customWidth="1"/>
  </cols>
  <sheetData>
    <row r="4" spans="2:18" x14ac:dyDescent="0.2">
      <c r="B4" s="122" t="s">
        <v>2</v>
      </c>
      <c r="C4" s="188" t="s">
        <v>206</v>
      </c>
      <c r="D4" s="189"/>
      <c r="E4" s="190"/>
      <c r="F4" s="188" t="s">
        <v>207</v>
      </c>
      <c r="G4" s="189"/>
      <c r="H4" s="190"/>
      <c r="I4" s="188" t="s">
        <v>19</v>
      </c>
      <c r="J4" s="189"/>
      <c r="K4" s="190"/>
      <c r="L4" s="188" t="s">
        <v>20</v>
      </c>
      <c r="M4" s="189"/>
      <c r="N4" s="190"/>
      <c r="O4" s="191" t="s">
        <v>187</v>
      </c>
      <c r="P4" s="192"/>
      <c r="Q4" s="192"/>
      <c r="R4" s="193"/>
    </row>
    <row r="5" spans="2:18" x14ac:dyDescent="0.2">
      <c r="B5" s="122"/>
      <c r="C5" s="123" t="s">
        <v>75</v>
      </c>
      <c r="D5" s="123" t="s">
        <v>76</v>
      </c>
      <c r="E5" s="123" t="s">
        <v>77</v>
      </c>
      <c r="F5" s="123" t="s">
        <v>75</v>
      </c>
      <c r="G5" s="123" t="s">
        <v>76</v>
      </c>
      <c r="H5" s="123" t="s">
        <v>77</v>
      </c>
      <c r="I5" s="123" t="s">
        <v>75</v>
      </c>
      <c r="J5" s="123" t="s">
        <v>76</v>
      </c>
      <c r="K5" s="123" t="s">
        <v>77</v>
      </c>
      <c r="L5" s="123" t="s">
        <v>75</v>
      </c>
      <c r="M5" s="123" t="s">
        <v>76</v>
      </c>
      <c r="N5" s="123" t="s">
        <v>77</v>
      </c>
      <c r="O5" s="194"/>
      <c r="P5" s="195"/>
      <c r="Q5" s="195"/>
      <c r="R5" s="196"/>
    </row>
    <row r="6" spans="2:18" x14ac:dyDescent="0.2">
      <c r="B6" s="122" t="s">
        <v>3</v>
      </c>
      <c r="C6" s="120">
        <f>'SDQ Period 1'!K15</f>
        <v>0</v>
      </c>
      <c r="D6" s="121">
        <f>'SDQ Period 2'!K15</f>
        <v>0</v>
      </c>
      <c r="E6" s="121">
        <f>'SDQ Period 3'!K15</f>
        <v>0</v>
      </c>
      <c r="F6" s="120">
        <f>'SDQ Period 1'!L15</f>
        <v>0</v>
      </c>
      <c r="G6" s="120">
        <f>'SDQ Period 2'!L15</f>
        <v>0</v>
      </c>
      <c r="H6" s="120">
        <f>'SDQ Period 3'!L15</f>
        <v>0</v>
      </c>
      <c r="I6" s="120">
        <f>'SDQ Period 1'!M15</f>
        <v>0</v>
      </c>
      <c r="J6" s="120">
        <f>'SDQ Period 2'!M15</f>
        <v>0</v>
      </c>
      <c r="K6" s="120">
        <f>'SDQ Period 3'!M15</f>
        <v>0</v>
      </c>
      <c r="L6" s="121">
        <f>'SDQ Period 1'!N15</f>
        <v>0</v>
      </c>
      <c r="M6" s="121">
        <f>'SDQ Period 2'!N15</f>
        <v>0</v>
      </c>
      <c r="N6" s="121">
        <f>'SDQ Period 3'!N15</f>
        <v>0</v>
      </c>
      <c r="O6" s="74" t="s">
        <v>23</v>
      </c>
      <c r="P6" s="75">
        <v>4</v>
      </c>
      <c r="Q6" s="76" t="s">
        <v>24</v>
      </c>
      <c r="R6" s="77" t="s">
        <v>25</v>
      </c>
    </row>
    <row r="7" spans="2:18" x14ac:dyDescent="0.2">
      <c r="B7" s="122" t="s">
        <v>5</v>
      </c>
      <c r="C7" s="120">
        <f>'SDQ Period 1'!K16</f>
        <v>0</v>
      </c>
      <c r="D7" s="121">
        <f>'SDQ Period 2'!K16</f>
        <v>0</v>
      </c>
      <c r="E7" s="121">
        <f>'SDQ Period 3'!K16</f>
        <v>0</v>
      </c>
      <c r="F7" s="120">
        <f>'SDQ Period 1'!L16</f>
        <v>0</v>
      </c>
      <c r="G7" s="120">
        <f>'SDQ Period 2'!L16</f>
        <v>0</v>
      </c>
      <c r="H7" s="120">
        <f>'SDQ Period 3'!L16</f>
        <v>0</v>
      </c>
      <c r="I7" s="120">
        <f>'SDQ Period 1'!M16</f>
        <v>0</v>
      </c>
      <c r="J7" s="120">
        <f>'SDQ Period 2'!M16</f>
        <v>0</v>
      </c>
      <c r="K7" s="120">
        <f>'SDQ Period 3'!M16</f>
        <v>0</v>
      </c>
      <c r="L7" s="121">
        <f>'SDQ Period 1'!N16</f>
        <v>0</v>
      </c>
      <c r="M7" s="121">
        <f>'SDQ Period 2'!N16</f>
        <v>0</v>
      </c>
      <c r="N7" s="121">
        <f>'SDQ Period 3'!N16</f>
        <v>0</v>
      </c>
      <c r="O7" s="74" t="s">
        <v>27</v>
      </c>
      <c r="P7" s="75" t="s">
        <v>28</v>
      </c>
      <c r="Q7" s="76" t="s">
        <v>29</v>
      </c>
      <c r="R7" s="77" t="s">
        <v>30</v>
      </c>
    </row>
    <row r="8" spans="2:18" x14ac:dyDescent="0.2">
      <c r="B8" s="122" t="s">
        <v>4</v>
      </c>
      <c r="C8" s="120">
        <f>'SDQ Period 1'!K17</f>
        <v>0</v>
      </c>
      <c r="D8" s="121">
        <f>'SDQ Period 2'!K17</f>
        <v>0</v>
      </c>
      <c r="E8" s="121">
        <f>'SDQ Period 3'!K17</f>
        <v>0</v>
      </c>
      <c r="F8" s="120">
        <f>'SDQ Period 1'!L17</f>
        <v>0</v>
      </c>
      <c r="G8" s="120">
        <f>'SDQ Period 2'!L17</f>
        <v>0</v>
      </c>
      <c r="H8" s="120">
        <f>'SDQ Period 3'!L17</f>
        <v>0</v>
      </c>
      <c r="I8" s="120">
        <f>'SDQ Period 1'!M17</f>
        <v>0</v>
      </c>
      <c r="J8" s="120">
        <f>'SDQ Period 2'!M17</f>
        <v>0</v>
      </c>
      <c r="K8" s="120">
        <f>'SDQ Period 3'!M17</f>
        <v>0</v>
      </c>
      <c r="L8" s="121">
        <f>'SDQ Period 1'!N17</f>
        <v>0</v>
      </c>
      <c r="M8" s="121">
        <f>'SDQ Period 2'!N17</f>
        <v>0</v>
      </c>
      <c r="N8" s="121">
        <f>'SDQ Period 3'!N17</f>
        <v>0</v>
      </c>
      <c r="O8" s="74" t="s">
        <v>27</v>
      </c>
      <c r="P8" s="75" t="s">
        <v>28</v>
      </c>
      <c r="Q8" s="76" t="s">
        <v>32</v>
      </c>
      <c r="R8" s="77" t="s">
        <v>33</v>
      </c>
    </row>
    <row r="9" spans="2:18" x14ac:dyDescent="0.2">
      <c r="B9" s="122" t="s">
        <v>15</v>
      </c>
      <c r="C9" s="120">
        <f>'SDQ Period 1'!K18</f>
        <v>0</v>
      </c>
      <c r="D9" s="121">
        <f>'SDQ Period 2'!K18</f>
        <v>0</v>
      </c>
      <c r="E9" s="121">
        <f>'SDQ Period 3'!K18</f>
        <v>0</v>
      </c>
      <c r="F9" s="120">
        <f>'SDQ Period 1'!L18</f>
        <v>0</v>
      </c>
      <c r="G9" s="120">
        <f>'SDQ Period 2'!L18</f>
        <v>0</v>
      </c>
      <c r="H9" s="120">
        <f>'SDQ Period 3'!L18</f>
        <v>0</v>
      </c>
      <c r="I9" s="120">
        <f>'SDQ Period 1'!M18</f>
        <v>0</v>
      </c>
      <c r="J9" s="120">
        <f>'SDQ Period 2'!M18</f>
        <v>0</v>
      </c>
      <c r="K9" s="120">
        <f>'SDQ Period 3'!M18</f>
        <v>0</v>
      </c>
      <c r="L9" s="121">
        <f>'SDQ Period 1'!N18</f>
        <v>0</v>
      </c>
      <c r="M9" s="121">
        <f>'SDQ Period 2'!N18</f>
        <v>0</v>
      </c>
      <c r="N9" s="121">
        <f>'SDQ Period 3'!N18</f>
        <v>0</v>
      </c>
      <c r="O9" s="74" t="s">
        <v>35</v>
      </c>
      <c r="P9" s="75" t="s">
        <v>36</v>
      </c>
      <c r="Q9" s="76" t="s">
        <v>37</v>
      </c>
      <c r="R9" s="77" t="s">
        <v>38</v>
      </c>
    </row>
    <row r="10" spans="2:18" x14ac:dyDescent="0.2">
      <c r="B10" s="122" t="s">
        <v>40</v>
      </c>
      <c r="C10" s="120">
        <f>'SDQ Period 1'!K19</f>
        <v>0</v>
      </c>
      <c r="D10" s="121">
        <f>'SDQ Period 2'!K19</f>
        <v>0</v>
      </c>
      <c r="E10" s="121">
        <f>'SDQ Period 3'!K19</f>
        <v>0</v>
      </c>
      <c r="F10" s="120">
        <f>'SDQ Period 1'!L19</f>
        <v>0</v>
      </c>
      <c r="G10" s="120">
        <f>'SDQ Period 2'!L19</f>
        <v>0</v>
      </c>
      <c r="H10" s="120">
        <f>'SDQ Period 3'!L19</f>
        <v>0</v>
      </c>
      <c r="I10" s="120">
        <f>'SDQ Period 1'!M19</f>
        <v>0</v>
      </c>
      <c r="J10" s="120">
        <f>'SDQ Period 2'!M19</f>
        <v>0</v>
      </c>
      <c r="K10" s="120">
        <f>'SDQ Period 3'!M19</f>
        <v>0</v>
      </c>
      <c r="L10" s="121">
        <f>'SDQ Period 1'!N19</f>
        <v>0</v>
      </c>
      <c r="M10" s="121">
        <f>'SDQ Period 2'!N19</f>
        <v>0</v>
      </c>
      <c r="N10" s="121">
        <f>'SDQ Period 3'!N19</f>
        <v>0</v>
      </c>
      <c r="O10" s="74" t="s">
        <v>41</v>
      </c>
      <c r="P10" s="75" t="s">
        <v>42</v>
      </c>
      <c r="Q10" s="76" t="s">
        <v>43</v>
      </c>
      <c r="R10" s="77" t="s">
        <v>44</v>
      </c>
    </row>
    <row r="11" spans="2:18" x14ac:dyDescent="0.2">
      <c r="B11" s="122" t="s">
        <v>46</v>
      </c>
      <c r="C11" s="120">
        <f>'SDQ Period 1'!K20</f>
        <v>0</v>
      </c>
      <c r="D11" s="121">
        <f>'SDQ Period 2'!K20</f>
        <v>0</v>
      </c>
      <c r="E11" s="121">
        <f>'SDQ Period 3'!K20</f>
        <v>0</v>
      </c>
      <c r="F11" s="120">
        <f>'SDQ Period 1'!L20</f>
        <v>0</v>
      </c>
      <c r="G11" s="120">
        <f>'SDQ Period 2'!L20</f>
        <v>0</v>
      </c>
      <c r="H11" s="120">
        <f>'SDQ Period 3'!L20</f>
        <v>0</v>
      </c>
      <c r="I11" s="120">
        <f>'SDQ Period 1'!M20</f>
        <v>0</v>
      </c>
      <c r="J11" s="120">
        <f>'SDQ Period 2'!M20</f>
        <v>0</v>
      </c>
      <c r="K11" s="120">
        <f>'SDQ Period 3'!M20</f>
        <v>0</v>
      </c>
      <c r="L11" s="121">
        <f>'SDQ Period 1'!N20</f>
        <v>0</v>
      </c>
      <c r="M11" s="121">
        <f>'SDQ Period 2'!N20</f>
        <v>0</v>
      </c>
      <c r="N11" s="121">
        <f>'SDQ Period 3'!N20</f>
        <v>0</v>
      </c>
      <c r="O11" s="74" t="s">
        <v>23</v>
      </c>
      <c r="P11" s="75" t="s">
        <v>47</v>
      </c>
      <c r="Q11" s="76" t="s">
        <v>48</v>
      </c>
      <c r="R11" s="77" t="s">
        <v>49</v>
      </c>
    </row>
    <row r="12" spans="2:18" x14ac:dyDescent="0.2">
      <c r="B12" s="122" t="s">
        <v>51</v>
      </c>
      <c r="C12" s="120">
        <f>'SDQ Period 1'!K21</f>
        <v>0</v>
      </c>
      <c r="D12" s="121">
        <f>'SDQ Period 2'!K21</f>
        <v>0</v>
      </c>
      <c r="E12" s="121">
        <f>'SDQ Period 3'!K21</f>
        <v>0</v>
      </c>
      <c r="F12" s="120">
        <f>'SDQ Period 1'!L21</f>
        <v>0</v>
      </c>
      <c r="G12" s="120">
        <f>'SDQ Period 2'!L21</f>
        <v>0</v>
      </c>
      <c r="H12" s="120">
        <f>'SDQ Period 3'!L21</f>
        <v>0</v>
      </c>
      <c r="I12" s="120">
        <f>'SDQ Period 1'!M21</f>
        <v>0</v>
      </c>
      <c r="J12" s="120">
        <f>'SDQ Period 2'!M21</f>
        <v>0</v>
      </c>
      <c r="K12" s="120">
        <f>'SDQ Period 3'!M21</f>
        <v>0</v>
      </c>
      <c r="L12" s="121">
        <f>'SDQ Period 1'!N21</f>
        <v>0</v>
      </c>
      <c r="M12" s="121">
        <f>'SDQ Period 2'!N21</f>
        <v>0</v>
      </c>
      <c r="N12" s="121">
        <f>'SDQ Period 3'!N21</f>
        <v>0</v>
      </c>
      <c r="O12" s="74" t="s">
        <v>52</v>
      </c>
      <c r="P12" s="75" t="s">
        <v>48</v>
      </c>
      <c r="Q12" s="76" t="s">
        <v>53</v>
      </c>
      <c r="R12" s="77" t="s">
        <v>54</v>
      </c>
    </row>
    <row r="13" spans="2:18" x14ac:dyDescent="0.2">
      <c r="B13" s="122" t="s">
        <v>56</v>
      </c>
      <c r="C13" s="120">
        <f>'SDQ Period 1'!K22</f>
        <v>0</v>
      </c>
      <c r="D13" s="121">
        <f>'SDQ Period 2'!K22</f>
        <v>0</v>
      </c>
      <c r="E13" s="121">
        <f>'SDQ Period 3'!K22</f>
        <v>0</v>
      </c>
      <c r="F13" s="120">
        <f>'SDQ Period 1'!L22</f>
        <v>0</v>
      </c>
      <c r="G13" s="120">
        <f>'SDQ Period 2'!L22</f>
        <v>0</v>
      </c>
      <c r="H13" s="120">
        <f>'SDQ Period 3'!L22</f>
        <v>0</v>
      </c>
      <c r="I13" s="120">
        <f>'SDQ Period 1'!M22</f>
        <v>0</v>
      </c>
      <c r="J13" s="120">
        <f>'SDQ Period 2'!M22</f>
        <v>0</v>
      </c>
      <c r="K13" s="120">
        <f>'SDQ Period 3'!M22</f>
        <v>0</v>
      </c>
      <c r="L13" s="121">
        <f>'SDQ Period 1'!N22</f>
        <v>0</v>
      </c>
      <c r="M13" s="121">
        <f>'SDQ Period 2'!N22</f>
        <v>0</v>
      </c>
      <c r="N13" s="121">
        <f>'SDQ Period 3'!N22</f>
        <v>0</v>
      </c>
      <c r="O13" s="74" t="s">
        <v>23</v>
      </c>
      <c r="P13" s="75" t="s">
        <v>29</v>
      </c>
      <c r="Q13" s="76" t="s">
        <v>24</v>
      </c>
      <c r="R13" s="77" t="s">
        <v>25</v>
      </c>
    </row>
    <row r="14" spans="2:18" x14ac:dyDescent="0.2">
      <c r="B14" s="122"/>
      <c r="C14" s="120">
        <f>'SDQ Period 1'!K23</f>
        <v>0</v>
      </c>
      <c r="D14" s="121">
        <f>'SDQ Period 2'!K23</f>
        <v>0</v>
      </c>
      <c r="E14" s="121">
        <f>'SDQ Period 3'!K23</f>
        <v>0</v>
      </c>
      <c r="F14" s="120">
        <f>'SDQ Period 1'!L23</f>
        <v>0</v>
      </c>
      <c r="G14" s="120">
        <f>'SDQ Period 2'!L23</f>
        <v>0</v>
      </c>
      <c r="H14" s="120">
        <f>'SDQ Period 3'!L23</f>
        <v>0</v>
      </c>
      <c r="I14" s="120">
        <f>'SDQ Period 1'!M23</f>
        <v>0</v>
      </c>
      <c r="J14" s="120">
        <f>'SDQ Period 2'!M23</f>
        <v>0</v>
      </c>
      <c r="K14" s="120">
        <f>'SDQ Period 3'!M23</f>
        <v>0</v>
      </c>
      <c r="L14" s="121">
        <f>'SDQ Period 1'!N23</f>
        <v>0</v>
      </c>
      <c r="M14" s="121">
        <f>'SDQ Period 2'!N23</f>
        <v>0</v>
      </c>
      <c r="N14" s="121">
        <f>'SDQ Period 3'!N23</f>
        <v>0</v>
      </c>
      <c r="O14" s="78"/>
      <c r="P14" s="78"/>
      <c r="Q14" s="78"/>
      <c r="R14" s="78"/>
    </row>
    <row r="15" spans="2:18" x14ac:dyDescent="0.2">
      <c r="B15" s="122" t="s">
        <v>13</v>
      </c>
      <c r="C15" s="120">
        <f>'SDQ Period 1'!K24</f>
        <v>0</v>
      </c>
      <c r="D15" s="121">
        <f>'SDQ Period 2'!K24</f>
        <v>0</v>
      </c>
      <c r="E15" s="121">
        <f>'SDQ Period 3'!K24</f>
        <v>0</v>
      </c>
      <c r="F15" s="120">
        <f>'SDQ Period 1'!L24</f>
        <v>0</v>
      </c>
      <c r="G15" s="120">
        <f>'SDQ Period 2'!L24</f>
        <v>0</v>
      </c>
      <c r="H15" s="120">
        <f>'SDQ Period 3'!L24</f>
        <v>0</v>
      </c>
      <c r="I15" s="120">
        <f>'SDQ Period 1'!M24</f>
        <v>0</v>
      </c>
      <c r="J15" s="120">
        <f>'SDQ Period 2'!M24</f>
        <v>0</v>
      </c>
      <c r="K15" s="120">
        <f>'SDQ Period 3'!M24</f>
        <v>0</v>
      </c>
      <c r="L15" s="121">
        <f>'SDQ Period 1'!N24</f>
        <v>0</v>
      </c>
      <c r="M15" s="121">
        <f>'SDQ Period 2'!N24</f>
        <v>0</v>
      </c>
      <c r="N15" s="121">
        <f>'SDQ Period 3'!N24</f>
        <v>0</v>
      </c>
      <c r="O15" s="74" t="s">
        <v>48</v>
      </c>
      <c r="P15" s="75" t="s">
        <v>59</v>
      </c>
      <c r="Q15" s="76" t="s">
        <v>60</v>
      </c>
      <c r="R15" s="77" t="s">
        <v>35</v>
      </c>
    </row>
  </sheetData>
  <sheetProtection algorithmName="SHA-512" hashValue="6UxR8tDa3cJLohPLd40Xdopu43j+j3uSLoZ8qkfSRh0AQl2dBW5RvuTXzdWAkSjv8H/iFfTX5o6qw6FdBT2/Zw==" saltValue="CMGzyodFr9NTDk3aGMHxnQ==" spinCount="100000" sheet="1" formatCells="0" formatColumns="0" formatRows="0"/>
  <dataConsolidate>
    <dataRefs count="1">
      <dataRef ref="K10:K19" sheet="Autumn Assessment" r:id="rId1"/>
    </dataRefs>
  </dataConsolidate>
  <mergeCells count="5">
    <mergeCell ref="C4:E4"/>
    <mergeCell ref="F4:H4"/>
    <mergeCell ref="I4:K4"/>
    <mergeCell ref="O4:R5"/>
    <mergeCell ref="L4:N4"/>
  </mergeCells>
  <phoneticPr fontId="5" type="noConversion"/>
  <pageMargins left="0.7" right="0.7" top="0.75" bottom="0.75" header="0.3" footer="0.3"/>
  <pageSetup scale="54"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C4CAA-A161-4913-B7DB-0D505B721833}">
  <sheetPr>
    <pageSetUpPr fitToPage="1"/>
  </sheetPr>
  <dimension ref="B4:AD15"/>
  <sheetViews>
    <sheetView showGridLines="0" topLeftCell="T2" workbookViewId="0">
      <selection activeCell="A18" sqref="A18"/>
    </sheetView>
  </sheetViews>
  <sheetFormatPr baseColWidth="10" defaultColWidth="8.83203125" defaultRowHeight="15" x14ac:dyDescent="0.2"/>
  <cols>
    <col min="2" max="2" width="21.5" bestFit="1" customWidth="1"/>
    <col min="3" max="4" width="18.5" customWidth="1"/>
    <col min="5" max="10" width="19.5" customWidth="1"/>
    <col min="11" max="16" width="17.1640625" customWidth="1"/>
    <col min="17" max="26" width="14.6640625" customWidth="1"/>
  </cols>
  <sheetData>
    <row r="4" spans="2:30" x14ac:dyDescent="0.2">
      <c r="B4" s="122" t="s">
        <v>2</v>
      </c>
      <c r="C4" s="188" t="s">
        <v>206</v>
      </c>
      <c r="D4" s="189"/>
      <c r="E4" s="189"/>
      <c r="F4" s="189"/>
      <c r="G4" s="189"/>
      <c r="H4" s="190"/>
      <c r="I4" s="188" t="s">
        <v>208</v>
      </c>
      <c r="J4" s="189"/>
      <c r="K4" s="189"/>
      <c r="L4" s="189"/>
      <c r="M4" s="189"/>
      <c r="N4" s="190"/>
      <c r="O4" s="188" t="s">
        <v>185</v>
      </c>
      <c r="P4" s="189"/>
      <c r="Q4" s="189"/>
      <c r="R4" s="189"/>
      <c r="S4" s="189"/>
      <c r="T4" s="190"/>
      <c r="U4" s="188" t="s">
        <v>186</v>
      </c>
      <c r="V4" s="189"/>
      <c r="W4" s="189"/>
      <c r="X4" s="189"/>
      <c r="Y4" s="189"/>
      <c r="Z4" s="190"/>
      <c r="AA4" s="191" t="s">
        <v>187</v>
      </c>
      <c r="AB4" s="192"/>
      <c r="AC4" s="192"/>
      <c r="AD4" s="193"/>
    </row>
    <row r="5" spans="2:30" x14ac:dyDescent="0.2">
      <c r="B5" s="122"/>
      <c r="C5" s="123" t="s">
        <v>75</v>
      </c>
      <c r="D5" s="123" t="s">
        <v>76</v>
      </c>
      <c r="E5" s="123" t="s">
        <v>77</v>
      </c>
      <c r="F5" s="123" t="s">
        <v>79</v>
      </c>
      <c r="G5" s="123" t="s">
        <v>80</v>
      </c>
      <c r="H5" s="123" t="s">
        <v>81</v>
      </c>
      <c r="I5" s="123" t="s">
        <v>75</v>
      </c>
      <c r="J5" s="123" t="s">
        <v>76</v>
      </c>
      <c r="K5" s="123" t="s">
        <v>77</v>
      </c>
      <c r="L5" s="123" t="s">
        <v>79</v>
      </c>
      <c r="M5" s="123" t="s">
        <v>80</v>
      </c>
      <c r="N5" s="123" t="s">
        <v>81</v>
      </c>
      <c r="O5" s="123" t="s">
        <v>75</v>
      </c>
      <c r="P5" s="123" t="s">
        <v>76</v>
      </c>
      <c r="Q5" s="123" t="s">
        <v>77</v>
      </c>
      <c r="R5" s="123" t="s">
        <v>79</v>
      </c>
      <c r="S5" s="123" t="s">
        <v>80</v>
      </c>
      <c r="T5" s="123" t="s">
        <v>81</v>
      </c>
      <c r="U5" s="123" t="s">
        <v>75</v>
      </c>
      <c r="V5" s="123" t="s">
        <v>76</v>
      </c>
      <c r="W5" s="123" t="s">
        <v>77</v>
      </c>
      <c r="X5" s="123" t="s">
        <v>79</v>
      </c>
      <c r="Y5" s="123" t="s">
        <v>80</v>
      </c>
      <c r="Z5" s="123" t="s">
        <v>81</v>
      </c>
      <c r="AA5" s="194"/>
      <c r="AB5" s="195"/>
      <c r="AC5" s="195"/>
      <c r="AD5" s="196"/>
    </row>
    <row r="6" spans="2:30" x14ac:dyDescent="0.2">
      <c r="B6" s="122" t="s">
        <v>3</v>
      </c>
      <c r="C6" s="120">
        <f>'SDQ Period 1'!K15</f>
        <v>0</v>
      </c>
      <c r="D6" s="121">
        <f>'SDQ Period 2'!K15</f>
        <v>0</v>
      </c>
      <c r="E6" s="121">
        <f>'SDQ Period 3'!K15</f>
        <v>0</v>
      </c>
      <c r="F6" s="121">
        <f>'SDQ Period 4'!K15</f>
        <v>0</v>
      </c>
      <c r="G6" s="121">
        <f>'SDQ Period 5'!K15</f>
        <v>0</v>
      </c>
      <c r="H6" s="121">
        <f>'SDQ Period 6'!K15</f>
        <v>0</v>
      </c>
      <c r="I6" s="120">
        <f>'SDQ Period 1'!L15</f>
        <v>0</v>
      </c>
      <c r="J6" s="120">
        <f>'SDQ Period 2'!L15</f>
        <v>0</v>
      </c>
      <c r="K6" s="120">
        <f>'SDQ Period 3'!L15</f>
        <v>0</v>
      </c>
      <c r="L6" s="120">
        <f>'SDQ Period 4'!L15</f>
        <v>0</v>
      </c>
      <c r="M6" s="120">
        <f>'SDQ Period 5'!L15</f>
        <v>0</v>
      </c>
      <c r="N6" s="120">
        <f>'SDQ Period 6'!L15</f>
        <v>0</v>
      </c>
      <c r="O6" s="120">
        <f>'SDQ Period 1'!G15</f>
        <v>0</v>
      </c>
      <c r="P6" s="120">
        <f>'SDQ Period 2'!G15</f>
        <v>0</v>
      </c>
      <c r="Q6" s="120">
        <f>'SDQ Period 3'!G15</f>
        <v>0</v>
      </c>
      <c r="R6" s="120">
        <f>'SDQ Period 4'!N15</f>
        <v>0</v>
      </c>
      <c r="S6" s="120">
        <f>'SDQ Period 5'!N15</f>
        <v>0</v>
      </c>
      <c r="T6" s="120">
        <f>'SDQ Period 6'!N15</f>
        <v>0</v>
      </c>
      <c r="U6" s="121">
        <f>'SDQ Period 1'!N15</f>
        <v>0</v>
      </c>
      <c r="V6" s="121">
        <f>'SDQ Period 3'!N15</f>
        <v>0</v>
      </c>
      <c r="W6" s="121">
        <f>'SDQ Period 3'!N15</f>
        <v>0</v>
      </c>
      <c r="X6" s="121">
        <f>'SDQ Period 4'!N15</f>
        <v>0</v>
      </c>
      <c r="Y6" s="121">
        <f>'SDQ Period 5'!N15</f>
        <v>0</v>
      </c>
      <c r="Z6" s="121">
        <f>'SDQ Period 6'!N15</f>
        <v>0</v>
      </c>
      <c r="AA6" s="74" t="s">
        <v>23</v>
      </c>
      <c r="AB6" s="75">
        <v>4</v>
      </c>
      <c r="AC6" s="76" t="s">
        <v>24</v>
      </c>
      <c r="AD6" s="77" t="s">
        <v>25</v>
      </c>
    </row>
    <row r="7" spans="2:30" x14ac:dyDescent="0.2">
      <c r="B7" s="122" t="s">
        <v>5</v>
      </c>
      <c r="C7" s="120">
        <f>'SDQ Period 1'!K16</f>
        <v>0</v>
      </c>
      <c r="D7" s="121">
        <f>'SDQ Period 2'!K16</f>
        <v>0</v>
      </c>
      <c r="E7" s="121">
        <f>'SDQ Period 3'!K16</f>
        <v>0</v>
      </c>
      <c r="F7" s="121">
        <f>'SDQ Period 4'!K16</f>
        <v>0</v>
      </c>
      <c r="G7" s="121">
        <f>'SDQ Period 5'!K16</f>
        <v>0</v>
      </c>
      <c r="H7" s="121">
        <f>'SDQ Period 6'!K16</f>
        <v>0</v>
      </c>
      <c r="I7" s="120">
        <f>'SDQ Period 1'!L16</f>
        <v>0</v>
      </c>
      <c r="J7" s="120">
        <f>'SDQ Period 2'!L16</f>
        <v>0</v>
      </c>
      <c r="K7" s="120">
        <f>'SDQ Period 3'!L16</f>
        <v>0</v>
      </c>
      <c r="L7" s="120">
        <f>'SDQ Period 4'!L16</f>
        <v>0</v>
      </c>
      <c r="M7" s="120">
        <f>'SDQ Period 5'!L16</f>
        <v>0</v>
      </c>
      <c r="N7" s="120">
        <f>'SDQ Period 6'!L16</f>
        <v>0</v>
      </c>
      <c r="O7" s="120">
        <f>'SDQ Period 1'!G16</f>
        <v>0</v>
      </c>
      <c r="P7" s="120">
        <f>'SDQ Period 2'!G16</f>
        <v>0</v>
      </c>
      <c r="Q7" s="120">
        <f>'SDQ Period 3'!G16</f>
        <v>0</v>
      </c>
      <c r="R7" s="120">
        <f>'SDQ Period 4'!N16</f>
        <v>0</v>
      </c>
      <c r="S7" s="120">
        <f>'SDQ Period 5'!N16</f>
        <v>0</v>
      </c>
      <c r="T7" s="120">
        <f>'SDQ Period 6'!N16</f>
        <v>0</v>
      </c>
      <c r="U7" s="121">
        <f>'SDQ Period 1'!N16</f>
        <v>0</v>
      </c>
      <c r="V7" s="121">
        <f>'SDQ Period 3'!N16</f>
        <v>0</v>
      </c>
      <c r="W7" s="121">
        <f>'SDQ Period 3'!N16</f>
        <v>0</v>
      </c>
      <c r="X7" s="121">
        <f>'SDQ Period 4'!N16</f>
        <v>0</v>
      </c>
      <c r="Y7" s="121">
        <f>'SDQ Period 5'!N16</f>
        <v>0</v>
      </c>
      <c r="Z7" s="121">
        <f>'SDQ Period 6'!N16</f>
        <v>0</v>
      </c>
      <c r="AA7" s="74" t="s">
        <v>27</v>
      </c>
      <c r="AB7" s="75" t="s">
        <v>28</v>
      </c>
      <c r="AC7" s="76" t="s">
        <v>29</v>
      </c>
      <c r="AD7" s="77" t="s">
        <v>30</v>
      </c>
    </row>
    <row r="8" spans="2:30" x14ac:dyDescent="0.2">
      <c r="B8" s="122" t="s">
        <v>4</v>
      </c>
      <c r="C8" s="120">
        <f>'SDQ Period 1'!K17</f>
        <v>0</v>
      </c>
      <c r="D8" s="121">
        <f>'SDQ Period 2'!K17</f>
        <v>0</v>
      </c>
      <c r="E8" s="121">
        <f>'SDQ Period 3'!K17</f>
        <v>0</v>
      </c>
      <c r="F8" s="121">
        <f>'SDQ Period 4'!K17</f>
        <v>0</v>
      </c>
      <c r="G8" s="121">
        <f>'SDQ Period 5'!K17</f>
        <v>0</v>
      </c>
      <c r="H8" s="121">
        <f>'SDQ Period 6'!K17</f>
        <v>0</v>
      </c>
      <c r="I8" s="120">
        <f>'SDQ Period 1'!L17</f>
        <v>0</v>
      </c>
      <c r="J8" s="120">
        <f>'SDQ Period 2'!L17</f>
        <v>0</v>
      </c>
      <c r="K8" s="120">
        <f>'SDQ Period 3'!L17</f>
        <v>0</v>
      </c>
      <c r="L8" s="120">
        <f>'SDQ Period 4'!L17</f>
        <v>0</v>
      </c>
      <c r="M8" s="120">
        <f>'SDQ Period 5'!L17</f>
        <v>0</v>
      </c>
      <c r="N8" s="120">
        <f>'SDQ Period 6'!L17</f>
        <v>0</v>
      </c>
      <c r="O8" s="120">
        <f>'SDQ Period 1'!G17</f>
        <v>0</v>
      </c>
      <c r="P8" s="120">
        <f>'SDQ Period 2'!G17</f>
        <v>0</v>
      </c>
      <c r="Q8" s="120">
        <f>'SDQ Period 3'!G17</f>
        <v>0</v>
      </c>
      <c r="R8" s="120">
        <f>'SDQ Period 4'!N17</f>
        <v>0</v>
      </c>
      <c r="S8" s="120">
        <f>'SDQ Period 5'!N17</f>
        <v>0</v>
      </c>
      <c r="T8" s="120">
        <f>'SDQ Period 6'!N17</f>
        <v>0</v>
      </c>
      <c r="U8" s="121">
        <f>'SDQ Period 1'!N17</f>
        <v>0</v>
      </c>
      <c r="V8" s="121">
        <f>'SDQ Period 3'!N17</f>
        <v>0</v>
      </c>
      <c r="W8" s="121">
        <f>'SDQ Period 3'!N17</f>
        <v>0</v>
      </c>
      <c r="X8" s="121">
        <f>'SDQ Period 4'!N17</f>
        <v>0</v>
      </c>
      <c r="Y8" s="121">
        <f>'SDQ Period 5'!N17</f>
        <v>0</v>
      </c>
      <c r="Z8" s="121">
        <f>'SDQ Period 6'!N17</f>
        <v>0</v>
      </c>
      <c r="AA8" s="74" t="s">
        <v>27</v>
      </c>
      <c r="AB8" s="75" t="s">
        <v>28</v>
      </c>
      <c r="AC8" s="76" t="s">
        <v>32</v>
      </c>
      <c r="AD8" s="77" t="s">
        <v>33</v>
      </c>
    </row>
    <row r="9" spans="2:30" x14ac:dyDescent="0.2">
      <c r="B9" s="122" t="s">
        <v>15</v>
      </c>
      <c r="C9" s="120">
        <f>'SDQ Period 1'!K18</f>
        <v>0</v>
      </c>
      <c r="D9" s="121">
        <f>'SDQ Period 2'!K18</f>
        <v>0</v>
      </c>
      <c r="E9" s="121">
        <f>'SDQ Period 3'!K18</f>
        <v>0</v>
      </c>
      <c r="F9" s="121">
        <f>'SDQ Period 4'!K18</f>
        <v>0</v>
      </c>
      <c r="G9" s="121">
        <f>'SDQ Period 5'!K18</f>
        <v>0</v>
      </c>
      <c r="H9" s="121">
        <f>'SDQ Period 6'!K18</f>
        <v>0</v>
      </c>
      <c r="I9" s="120">
        <f>'SDQ Period 1'!L18</f>
        <v>0</v>
      </c>
      <c r="J9" s="120">
        <f>'SDQ Period 2'!L18</f>
        <v>0</v>
      </c>
      <c r="K9" s="120">
        <f>'SDQ Period 3'!L18</f>
        <v>0</v>
      </c>
      <c r="L9" s="120">
        <f>'SDQ Period 4'!L18</f>
        <v>0</v>
      </c>
      <c r="M9" s="120">
        <f>'SDQ Period 5'!L18</f>
        <v>0</v>
      </c>
      <c r="N9" s="120">
        <f>'SDQ Period 6'!L18</f>
        <v>0</v>
      </c>
      <c r="O9" s="120">
        <f>'SDQ Period 1'!G18</f>
        <v>0</v>
      </c>
      <c r="P9" s="120">
        <f>'SDQ Period 2'!G18</f>
        <v>0</v>
      </c>
      <c r="Q9" s="120">
        <f>'SDQ Period 3'!G18</f>
        <v>0</v>
      </c>
      <c r="R9" s="120">
        <f>'SDQ Period 4'!N18</f>
        <v>0</v>
      </c>
      <c r="S9" s="120">
        <f>'SDQ Period 5'!N18</f>
        <v>0</v>
      </c>
      <c r="T9" s="120">
        <f>'SDQ Period 6'!N18</f>
        <v>0</v>
      </c>
      <c r="U9" s="121">
        <f>'SDQ Period 1'!N18</f>
        <v>0</v>
      </c>
      <c r="V9" s="121">
        <f>'SDQ Period 3'!N18</f>
        <v>0</v>
      </c>
      <c r="W9" s="121">
        <f>'SDQ Period 3'!N18</f>
        <v>0</v>
      </c>
      <c r="X9" s="121">
        <f>'SDQ Period 4'!N18</f>
        <v>0</v>
      </c>
      <c r="Y9" s="121">
        <f>'SDQ Period 5'!N18</f>
        <v>0</v>
      </c>
      <c r="Z9" s="121">
        <f>'SDQ Period 6'!N18</f>
        <v>0</v>
      </c>
      <c r="AA9" s="74" t="s">
        <v>35</v>
      </c>
      <c r="AB9" s="75" t="s">
        <v>36</v>
      </c>
      <c r="AC9" s="76" t="s">
        <v>37</v>
      </c>
      <c r="AD9" s="77" t="s">
        <v>38</v>
      </c>
    </row>
    <row r="10" spans="2:30" x14ac:dyDescent="0.2">
      <c r="B10" s="122" t="s">
        <v>40</v>
      </c>
      <c r="C10" s="120">
        <f>'SDQ Period 1'!K19</f>
        <v>0</v>
      </c>
      <c r="D10" s="121">
        <f>'SDQ Period 2'!K19</f>
        <v>0</v>
      </c>
      <c r="E10" s="121">
        <f>'SDQ Period 3'!K19</f>
        <v>0</v>
      </c>
      <c r="F10" s="121">
        <f>'SDQ Period 4'!K19</f>
        <v>0</v>
      </c>
      <c r="G10" s="121">
        <f>'SDQ Period 5'!K19</f>
        <v>0</v>
      </c>
      <c r="H10" s="121">
        <f>'SDQ Period 6'!K19</f>
        <v>0</v>
      </c>
      <c r="I10" s="120">
        <f>'SDQ Period 1'!L19</f>
        <v>0</v>
      </c>
      <c r="J10" s="120">
        <f>'SDQ Period 2'!L19</f>
        <v>0</v>
      </c>
      <c r="K10" s="120">
        <f>'SDQ Period 3'!L19</f>
        <v>0</v>
      </c>
      <c r="L10" s="120">
        <f>'SDQ Period 4'!L19</f>
        <v>0</v>
      </c>
      <c r="M10" s="120">
        <f>'SDQ Period 5'!L19</f>
        <v>0</v>
      </c>
      <c r="N10" s="120">
        <f>'SDQ Period 6'!L19</f>
        <v>0</v>
      </c>
      <c r="O10" s="120">
        <f>'SDQ Period 1'!G19</f>
        <v>0</v>
      </c>
      <c r="P10" s="120">
        <f>'SDQ Period 2'!G19</f>
        <v>0</v>
      </c>
      <c r="Q10" s="120">
        <f>'SDQ Period 3'!G19</f>
        <v>0</v>
      </c>
      <c r="R10" s="120">
        <f>'SDQ Period 4'!N19</f>
        <v>0</v>
      </c>
      <c r="S10" s="120">
        <f>'SDQ Period 5'!N19</f>
        <v>0</v>
      </c>
      <c r="T10" s="120">
        <f>'SDQ Period 6'!N19</f>
        <v>0</v>
      </c>
      <c r="U10" s="121">
        <f>'SDQ Period 1'!N19</f>
        <v>0</v>
      </c>
      <c r="V10" s="121">
        <f>'SDQ Period 3'!N19</f>
        <v>0</v>
      </c>
      <c r="W10" s="121">
        <f>'SDQ Period 3'!N19</f>
        <v>0</v>
      </c>
      <c r="X10" s="121">
        <f>'SDQ Period 4'!N19</f>
        <v>0</v>
      </c>
      <c r="Y10" s="121">
        <f>'SDQ Period 5'!N19</f>
        <v>0</v>
      </c>
      <c r="Z10" s="121">
        <f>'SDQ Period 6'!N19</f>
        <v>0</v>
      </c>
      <c r="AA10" s="74" t="s">
        <v>41</v>
      </c>
      <c r="AB10" s="75" t="s">
        <v>42</v>
      </c>
      <c r="AC10" s="76" t="s">
        <v>43</v>
      </c>
      <c r="AD10" s="77" t="s">
        <v>44</v>
      </c>
    </row>
    <row r="11" spans="2:30" x14ac:dyDescent="0.2">
      <c r="B11" s="122" t="s">
        <v>46</v>
      </c>
      <c r="C11" s="120">
        <f>'SDQ Period 1'!K20</f>
        <v>0</v>
      </c>
      <c r="D11" s="121">
        <f>'SDQ Period 2'!K20</f>
        <v>0</v>
      </c>
      <c r="E11" s="121">
        <f>'SDQ Period 3'!K20</f>
        <v>0</v>
      </c>
      <c r="F11" s="121">
        <f>'SDQ Period 4'!K20</f>
        <v>0</v>
      </c>
      <c r="G11" s="121">
        <f>'SDQ Period 5'!K20</f>
        <v>0</v>
      </c>
      <c r="H11" s="121">
        <f>'SDQ Period 6'!K20</f>
        <v>0</v>
      </c>
      <c r="I11" s="120">
        <f>'SDQ Period 1'!L20</f>
        <v>0</v>
      </c>
      <c r="J11" s="120">
        <f>'SDQ Period 2'!L20</f>
        <v>0</v>
      </c>
      <c r="K11" s="120">
        <f>'SDQ Period 3'!L20</f>
        <v>0</v>
      </c>
      <c r="L11" s="120">
        <f>'SDQ Period 4'!L20</f>
        <v>0</v>
      </c>
      <c r="M11" s="120">
        <f>'SDQ Period 5'!L20</f>
        <v>0</v>
      </c>
      <c r="N11" s="120">
        <f>'SDQ Period 6'!L20</f>
        <v>0</v>
      </c>
      <c r="O11" s="120">
        <f>'SDQ Period 1'!G20</f>
        <v>0</v>
      </c>
      <c r="P11" s="120">
        <f>'SDQ Period 2'!G20</f>
        <v>0</v>
      </c>
      <c r="Q11" s="120">
        <f>'SDQ Period 3'!G20</f>
        <v>0</v>
      </c>
      <c r="R11" s="120">
        <f>'SDQ Period 4'!N20</f>
        <v>0</v>
      </c>
      <c r="S11" s="120">
        <f>'SDQ Period 5'!N20</f>
        <v>0</v>
      </c>
      <c r="T11" s="120">
        <f>'SDQ Period 6'!N20</f>
        <v>0</v>
      </c>
      <c r="U11" s="121">
        <f>'SDQ Period 1'!N20</f>
        <v>0</v>
      </c>
      <c r="V11" s="121">
        <f>'SDQ Period 3'!N20</f>
        <v>0</v>
      </c>
      <c r="W11" s="121">
        <f>'SDQ Period 3'!N20</f>
        <v>0</v>
      </c>
      <c r="X11" s="121">
        <f>'SDQ Period 4'!N20</f>
        <v>0</v>
      </c>
      <c r="Y11" s="121">
        <f>'SDQ Period 5'!N20</f>
        <v>0</v>
      </c>
      <c r="Z11" s="121">
        <f>'SDQ Period 6'!N20</f>
        <v>0</v>
      </c>
      <c r="AA11" s="74" t="s">
        <v>23</v>
      </c>
      <c r="AB11" s="75" t="s">
        <v>47</v>
      </c>
      <c r="AC11" s="76" t="s">
        <v>48</v>
      </c>
      <c r="AD11" s="77" t="s">
        <v>49</v>
      </c>
    </row>
    <row r="12" spans="2:30" x14ac:dyDescent="0.2">
      <c r="B12" s="122" t="s">
        <v>51</v>
      </c>
      <c r="C12" s="120">
        <f>'SDQ Period 1'!K21</f>
        <v>0</v>
      </c>
      <c r="D12" s="121">
        <f>'SDQ Period 2'!K21</f>
        <v>0</v>
      </c>
      <c r="E12" s="121">
        <f>'SDQ Period 3'!K21</f>
        <v>0</v>
      </c>
      <c r="F12" s="121">
        <f>'SDQ Period 4'!K21</f>
        <v>0</v>
      </c>
      <c r="G12" s="121">
        <f>'SDQ Period 5'!K21</f>
        <v>0</v>
      </c>
      <c r="H12" s="121">
        <f>'SDQ Period 6'!K21</f>
        <v>0</v>
      </c>
      <c r="I12" s="120">
        <f>'SDQ Period 1'!L21</f>
        <v>0</v>
      </c>
      <c r="J12" s="120">
        <f>'SDQ Period 2'!L21</f>
        <v>0</v>
      </c>
      <c r="K12" s="120">
        <f>'SDQ Period 3'!L21</f>
        <v>0</v>
      </c>
      <c r="L12" s="120">
        <f>'SDQ Period 4'!L21</f>
        <v>0</v>
      </c>
      <c r="M12" s="120">
        <f>'SDQ Period 5'!L21</f>
        <v>0</v>
      </c>
      <c r="N12" s="120">
        <f>'SDQ Period 6'!L21</f>
        <v>0</v>
      </c>
      <c r="O12" s="120">
        <f>'SDQ Period 1'!G21</f>
        <v>0</v>
      </c>
      <c r="P12" s="120">
        <f>'SDQ Period 2'!G21</f>
        <v>0</v>
      </c>
      <c r="Q12" s="120">
        <f>'SDQ Period 3'!G21</f>
        <v>0</v>
      </c>
      <c r="R12" s="120">
        <f>'SDQ Period 4'!N21</f>
        <v>0</v>
      </c>
      <c r="S12" s="120">
        <f>'SDQ Period 5'!N21</f>
        <v>0</v>
      </c>
      <c r="T12" s="120">
        <f>'SDQ Period 6'!N21</f>
        <v>0</v>
      </c>
      <c r="U12" s="121">
        <f>'SDQ Period 1'!N21</f>
        <v>0</v>
      </c>
      <c r="V12" s="121">
        <f>'SDQ Period 3'!N21</f>
        <v>0</v>
      </c>
      <c r="W12" s="121">
        <f>'SDQ Period 3'!N21</f>
        <v>0</v>
      </c>
      <c r="X12" s="121">
        <f>'SDQ Period 4'!N21</f>
        <v>0</v>
      </c>
      <c r="Y12" s="121">
        <f>'SDQ Period 5'!N21</f>
        <v>0</v>
      </c>
      <c r="Z12" s="121">
        <f>'SDQ Period 6'!N21</f>
        <v>0</v>
      </c>
      <c r="AA12" s="74" t="s">
        <v>52</v>
      </c>
      <c r="AB12" s="75" t="s">
        <v>48</v>
      </c>
      <c r="AC12" s="76" t="s">
        <v>53</v>
      </c>
      <c r="AD12" s="77" t="s">
        <v>54</v>
      </c>
    </row>
    <row r="13" spans="2:30" x14ac:dyDescent="0.2">
      <c r="B13" s="122" t="s">
        <v>56</v>
      </c>
      <c r="C13" s="120">
        <f>'SDQ Period 1'!K22</f>
        <v>0</v>
      </c>
      <c r="D13" s="121">
        <f>'SDQ Period 2'!K22</f>
        <v>0</v>
      </c>
      <c r="E13" s="121">
        <f>'SDQ Period 3'!K22</f>
        <v>0</v>
      </c>
      <c r="F13" s="121">
        <f>'SDQ Period 4'!K22</f>
        <v>0</v>
      </c>
      <c r="G13" s="121">
        <f>'SDQ Period 5'!K22</f>
        <v>0</v>
      </c>
      <c r="H13" s="121">
        <f>'SDQ Period 6'!K22</f>
        <v>0</v>
      </c>
      <c r="I13" s="120">
        <f>'SDQ Period 1'!L22</f>
        <v>0</v>
      </c>
      <c r="J13" s="120">
        <f>'SDQ Period 2'!L22</f>
        <v>0</v>
      </c>
      <c r="K13" s="120">
        <f>'SDQ Period 3'!L22</f>
        <v>0</v>
      </c>
      <c r="L13" s="120">
        <f>'SDQ Period 4'!L22</f>
        <v>0</v>
      </c>
      <c r="M13" s="120">
        <f>'SDQ Period 5'!L22</f>
        <v>0</v>
      </c>
      <c r="N13" s="120">
        <f>'SDQ Period 6'!L22</f>
        <v>0</v>
      </c>
      <c r="O13" s="120">
        <f>'SDQ Period 1'!G22</f>
        <v>0</v>
      </c>
      <c r="P13" s="120">
        <f>'SDQ Period 2'!G22</f>
        <v>0</v>
      </c>
      <c r="Q13" s="120">
        <f>'SDQ Period 3'!G22</f>
        <v>0</v>
      </c>
      <c r="R13" s="120">
        <f>'SDQ Period 4'!N22</f>
        <v>0</v>
      </c>
      <c r="S13" s="120">
        <f>'SDQ Period 5'!N22</f>
        <v>0</v>
      </c>
      <c r="T13" s="120">
        <f>'SDQ Period 6'!N22</f>
        <v>0</v>
      </c>
      <c r="U13" s="121">
        <f>'SDQ Period 1'!N22</f>
        <v>0</v>
      </c>
      <c r="V13" s="121">
        <f>'SDQ Period 3'!N22</f>
        <v>0</v>
      </c>
      <c r="W13" s="121">
        <f>'SDQ Period 3'!N22</f>
        <v>0</v>
      </c>
      <c r="X13" s="121">
        <f>'SDQ Period 4'!N22</f>
        <v>0</v>
      </c>
      <c r="Y13" s="121">
        <f>'SDQ Period 5'!N22</f>
        <v>0</v>
      </c>
      <c r="Z13" s="121">
        <f>'SDQ Period 6'!N22</f>
        <v>0</v>
      </c>
      <c r="AA13" s="74" t="s">
        <v>23</v>
      </c>
      <c r="AB13" s="75" t="s">
        <v>29</v>
      </c>
      <c r="AC13" s="76" t="s">
        <v>24</v>
      </c>
      <c r="AD13" s="77" t="s">
        <v>25</v>
      </c>
    </row>
    <row r="14" spans="2:30" x14ac:dyDescent="0.2">
      <c r="B14" s="122"/>
      <c r="C14" s="120">
        <f>'SDQ Period 1'!K23</f>
        <v>0</v>
      </c>
      <c r="D14" s="121">
        <f>'SDQ Period 2'!K23</f>
        <v>0</v>
      </c>
      <c r="E14" s="121">
        <f>'SDQ Period 3'!K23</f>
        <v>0</v>
      </c>
      <c r="F14" s="121">
        <f>'SDQ Period 4'!K23</f>
        <v>0</v>
      </c>
      <c r="G14" s="121">
        <f>'SDQ Period 5'!K23</f>
        <v>0</v>
      </c>
      <c r="H14" s="121">
        <f>'SDQ Period 6'!K23</f>
        <v>0</v>
      </c>
      <c r="I14" s="120">
        <f>'SDQ Period 1'!L23</f>
        <v>0</v>
      </c>
      <c r="J14" s="120">
        <f>'SDQ Period 2'!L23</f>
        <v>0</v>
      </c>
      <c r="K14" s="120">
        <f>'SDQ Period 3'!L23</f>
        <v>0</v>
      </c>
      <c r="L14" s="120">
        <f>'SDQ Period 4'!L23</f>
        <v>0</v>
      </c>
      <c r="M14" s="120">
        <f>'SDQ Period 5'!L23</f>
        <v>0</v>
      </c>
      <c r="N14" s="120">
        <f>'SDQ Period 6'!L23</f>
        <v>0</v>
      </c>
      <c r="O14" s="120">
        <f>'SDQ Period 1'!G23</f>
        <v>0</v>
      </c>
      <c r="P14" s="120">
        <f>'SDQ Period 2'!G23</f>
        <v>0</v>
      </c>
      <c r="Q14" s="120">
        <f>'SDQ Period 3'!G23</f>
        <v>0</v>
      </c>
      <c r="R14" s="120">
        <f>'SDQ Period 4'!N23</f>
        <v>0</v>
      </c>
      <c r="S14" s="120">
        <f>'SDQ Period 5'!N23</f>
        <v>0</v>
      </c>
      <c r="T14" s="120">
        <f>'SDQ Period 6'!N23</f>
        <v>0</v>
      </c>
      <c r="U14" s="121">
        <f>'SDQ Period 1'!N23</f>
        <v>0</v>
      </c>
      <c r="V14" s="121">
        <f>'SDQ Period 3'!N23</f>
        <v>0</v>
      </c>
      <c r="W14" s="121">
        <f>'SDQ Period 3'!N23</f>
        <v>0</v>
      </c>
      <c r="X14" s="121">
        <f>'SDQ Period 4'!N23</f>
        <v>0</v>
      </c>
      <c r="Y14" s="121">
        <f>'SDQ Period 5'!N23</f>
        <v>0</v>
      </c>
      <c r="Z14" s="121">
        <f>'SDQ Period 6'!N23</f>
        <v>0</v>
      </c>
      <c r="AA14" s="78"/>
      <c r="AB14" s="78"/>
      <c r="AC14" s="78"/>
      <c r="AD14" s="78"/>
    </row>
    <row r="15" spans="2:30" x14ac:dyDescent="0.2">
      <c r="B15" s="122" t="s">
        <v>13</v>
      </c>
      <c r="C15" s="120">
        <f>'SDQ Period 1'!K24</f>
        <v>0</v>
      </c>
      <c r="D15" s="121">
        <f>'SDQ Period 2'!K24</f>
        <v>0</v>
      </c>
      <c r="E15" s="121">
        <f>'SDQ Period 3'!K24</f>
        <v>0</v>
      </c>
      <c r="F15" s="121">
        <f>'SDQ Period 4'!K24</f>
        <v>0</v>
      </c>
      <c r="G15" s="121">
        <f>'SDQ Period 5'!K24</f>
        <v>0</v>
      </c>
      <c r="H15" s="121">
        <f>'SDQ Period 6'!K24</f>
        <v>0</v>
      </c>
      <c r="I15" s="120">
        <f>'SDQ Period 1'!L24</f>
        <v>0</v>
      </c>
      <c r="J15" s="120">
        <f>'SDQ Period 2'!L24</f>
        <v>0</v>
      </c>
      <c r="K15" s="120">
        <f>'SDQ Period 3'!L24</f>
        <v>0</v>
      </c>
      <c r="L15" s="120">
        <f>'SDQ Period 4'!L24</f>
        <v>0</v>
      </c>
      <c r="M15" s="120">
        <f>'SDQ Period 5'!L24</f>
        <v>0</v>
      </c>
      <c r="N15" s="120">
        <f>'SDQ Period 6'!L24</f>
        <v>0</v>
      </c>
      <c r="O15" s="120">
        <f>'SDQ Period 1'!G24</f>
        <v>0</v>
      </c>
      <c r="P15" s="120">
        <f>'SDQ Period 2'!G24</f>
        <v>0</v>
      </c>
      <c r="Q15" s="120">
        <f>'SDQ Period 3'!G24</f>
        <v>0</v>
      </c>
      <c r="R15" s="120">
        <f>'SDQ Period 4'!N24</f>
        <v>0</v>
      </c>
      <c r="S15" s="120">
        <f>'SDQ Period 5'!N24</f>
        <v>0</v>
      </c>
      <c r="T15" s="120">
        <f>'SDQ Period 6'!N24</f>
        <v>0</v>
      </c>
      <c r="U15" s="121">
        <f>'SDQ Period 1'!N24</f>
        <v>0</v>
      </c>
      <c r="V15" s="121">
        <f>'SDQ Period 3'!N24</f>
        <v>0</v>
      </c>
      <c r="W15" s="121">
        <f>'SDQ Period 3'!N24</f>
        <v>0</v>
      </c>
      <c r="X15" s="121">
        <f>'SDQ Period 4'!N24</f>
        <v>0</v>
      </c>
      <c r="Y15" s="121">
        <f>'SDQ Period 5'!N24</f>
        <v>0</v>
      </c>
      <c r="Z15" s="121">
        <f>'SDQ Period 6'!N24</f>
        <v>0</v>
      </c>
      <c r="AA15" s="74" t="s">
        <v>48</v>
      </c>
      <c r="AB15" s="75" t="s">
        <v>59</v>
      </c>
      <c r="AC15" s="76" t="s">
        <v>60</v>
      </c>
      <c r="AD15" s="77" t="s">
        <v>35</v>
      </c>
    </row>
  </sheetData>
  <sheetProtection algorithmName="SHA-512" hashValue="OfjzPoFg0VgD3nVTk4GYD+4tFZYQYaeOMrBdBqmlHSsHjmcdH7CZJbM+2nFAx/hRDDNLzD8NcKUtnZwYGiMisw==" saltValue="3fZuoYS5V42LrnQRPCIZgw==" spinCount="100000" sheet="1" formatCells="0" formatColumns="0" formatRows="0"/>
  <dataConsolidate>
    <dataRefs count="1">
      <dataRef ref="K10:K19" sheet="Autumn Assessment" r:id="rId1"/>
    </dataRefs>
  </dataConsolidate>
  <mergeCells count="5">
    <mergeCell ref="AA4:AD5"/>
    <mergeCell ref="C4:H4"/>
    <mergeCell ref="I4:N4"/>
    <mergeCell ref="U4:Z4"/>
    <mergeCell ref="O4:T4"/>
  </mergeCells>
  <phoneticPr fontId="5" type="noConversion"/>
  <pageMargins left="0.7" right="0.7" top="0.75" bottom="0.75" header="0.3" footer="0.3"/>
  <pageSetup scale="54"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C4061-06A3-4A91-924D-5AF41275B6F2}">
  <sheetPr>
    <pageSetUpPr fitToPage="1"/>
  </sheetPr>
  <dimension ref="B4:AP15"/>
  <sheetViews>
    <sheetView showGridLines="0" topLeftCell="A33" workbookViewId="0">
      <selection activeCell="H2" sqref="H2"/>
    </sheetView>
  </sheetViews>
  <sheetFormatPr baseColWidth="10" defaultColWidth="8.83203125" defaultRowHeight="15" x14ac:dyDescent="0.2"/>
  <cols>
    <col min="2" max="2" width="21.5" bestFit="1" customWidth="1"/>
    <col min="3" max="4" width="18.5" customWidth="1"/>
    <col min="5" max="13" width="19.5" customWidth="1"/>
    <col min="14" max="22" width="17.1640625" customWidth="1"/>
    <col min="23" max="38" width="14.6640625" customWidth="1"/>
  </cols>
  <sheetData>
    <row r="4" spans="2:42" x14ac:dyDescent="0.2">
      <c r="B4" s="122" t="s">
        <v>2</v>
      </c>
      <c r="C4" s="188" t="s">
        <v>206</v>
      </c>
      <c r="D4" s="189"/>
      <c r="E4" s="189"/>
      <c r="F4" s="189"/>
      <c r="G4" s="189"/>
      <c r="H4" s="189"/>
      <c r="I4" s="189"/>
      <c r="J4" s="189"/>
      <c r="K4" s="190"/>
      <c r="L4" s="188" t="s">
        <v>208</v>
      </c>
      <c r="M4" s="189"/>
      <c r="N4" s="189"/>
      <c r="O4" s="189"/>
      <c r="P4" s="189"/>
      <c r="Q4" s="189"/>
      <c r="R4" s="189"/>
      <c r="S4" s="189"/>
      <c r="T4" s="190"/>
      <c r="U4" s="188" t="s">
        <v>185</v>
      </c>
      <c r="V4" s="189"/>
      <c r="W4" s="189"/>
      <c r="X4" s="189"/>
      <c r="Y4" s="189"/>
      <c r="Z4" s="189"/>
      <c r="AA4" s="189"/>
      <c r="AB4" s="189"/>
      <c r="AC4" s="190"/>
      <c r="AD4" s="188" t="s">
        <v>186</v>
      </c>
      <c r="AE4" s="189"/>
      <c r="AF4" s="189"/>
      <c r="AG4" s="189"/>
      <c r="AH4" s="189"/>
      <c r="AI4" s="189"/>
      <c r="AJ4" s="189"/>
      <c r="AK4" s="189"/>
      <c r="AL4" s="190"/>
      <c r="AM4" s="191" t="s">
        <v>187</v>
      </c>
      <c r="AN4" s="192"/>
      <c r="AO4" s="192"/>
      <c r="AP4" s="193"/>
    </row>
    <row r="5" spans="2:42" x14ac:dyDescent="0.2">
      <c r="B5" s="122"/>
      <c r="C5" s="123" t="s">
        <v>75</v>
      </c>
      <c r="D5" s="123" t="s">
        <v>76</v>
      </c>
      <c r="E5" s="123" t="s">
        <v>77</v>
      </c>
      <c r="F5" s="123" t="s">
        <v>79</v>
      </c>
      <c r="G5" s="123" t="s">
        <v>80</v>
      </c>
      <c r="H5" s="123" t="s">
        <v>81</v>
      </c>
      <c r="I5" s="123" t="s">
        <v>82</v>
      </c>
      <c r="J5" s="123" t="s">
        <v>83</v>
      </c>
      <c r="K5" s="123" t="s">
        <v>84</v>
      </c>
      <c r="L5" s="123" t="s">
        <v>75</v>
      </c>
      <c r="M5" s="123" t="s">
        <v>76</v>
      </c>
      <c r="N5" s="123" t="s">
        <v>77</v>
      </c>
      <c r="O5" s="123" t="s">
        <v>79</v>
      </c>
      <c r="P5" s="123" t="s">
        <v>80</v>
      </c>
      <c r="Q5" s="123" t="s">
        <v>81</v>
      </c>
      <c r="R5" s="123" t="s">
        <v>82</v>
      </c>
      <c r="S5" s="123" t="s">
        <v>83</v>
      </c>
      <c r="T5" s="123" t="s">
        <v>84</v>
      </c>
      <c r="U5" s="123" t="s">
        <v>75</v>
      </c>
      <c r="V5" s="123" t="s">
        <v>76</v>
      </c>
      <c r="W5" s="123" t="s">
        <v>77</v>
      </c>
      <c r="X5" s="123" t="s">
        <v>79</v>
      </c>
      <c r="Y5" s="123" t="s">
        <v>80</v>
      </c>
      <c r="Z5" s="123" t="s">
        <v>81</v>
      </c>
      <c r="AA5" s="123" t="s">
        <v>82</v>
      </c>
      <c r="AB5" s="123" t="s">
        <v>83</v>
      </c>
      <c r="AC5" s="123" t="s">
        <v>84</v>
      </c>
      <c r="AD5" s="123" t="s">
        <v>75</v>
      </c>
      <c r="AE5" s="123" t="s">
        <v>76</v>
      </c>
      <c r="AF5" s="123" t="s">
        <v>77</v>
      </c>
      <c r="AG5" s="123" t="s">
        <v>79</v>
      </c>
      <c r="AH5" s="123" t="s">
        <v>80</v>
      </c>
      <c r="AI5" s="123" t="s">
        <v>81</v>
      </c>
      <c r="AJ5" s="123" t="s">
        <v>82</v>
      </c>
      <c r="AK5" s="123" t="s">
        <v>83</v>
      </c>
      <c r="AL5" s="123" t="s">
        <v>84</v>
      </c>
      <c r="AM5" s="194"/>
      <c r="AN5" s="195"/>
      <c r="AO5" s="195"/>
      <c r="AP5" s="196"/>
    </row>
    <row r="6" spans="2:42" x14ac:dyDescent="0.2">
      <c r="B6" s="122" t="s">
        <v>3</v>
      </c>
      <c r="C6" s="120">
        <f>'SDQ Period 1'!K15</f>
        <v>0</v>
      </c>
      <c r="D6" s="121">
        <f>'SDQ Period 2'!K15</f>
        <v>0</v>
      </c>
      <c r="E6" s="121">
        <f>'SDQ Period 3'!K15</f>
        <v>0</v>
      </c>
      <c r="F6" s="121">
        <f>'SDQ Period 4'!K15</f>
        <v>0</v>
      </c>
      <c r="G6" s="121">
        <f>'SDQ Period 5'!K15</f>
        <v>0</v>
      </c>
      <c r="H6" s="121">
        <f>'SDQ Period 6'!K15</f>
        <v>0</v>
      </c>
      <c r="I6" s="120">
        <f>'SDQ Period 7'!K15</f>
        <v>0</v>
      </c>
      <c r="J6" s="120">
        <f>'SDQ Period 8'!K15</f>
        <v>0</v>
      </c>
      <c r="K6" s="120">
        <f>'SDQ Period 9'!K15</f>
        <v>0</v>
      </c>
      <c r="L6" s="120">
        <f>'SDQ Period 1'!L15</f>
        <v>0</v>
      </c>
      <c r="M6" s="120">
        <f>'SDQ Period 2'!L15</f>
        <v>0</v>
      </c>
      <c r="N6" s="120">
        <f>'SDQ Period 3'!L15</f>
        <v>0</v>
      </c>
      <c r="O6" s="120">
        <f>'SDQ Period 4'!L15</f>
        <v>0</v>
      </c>
      <c r="P6" s="120">
        <f>'SDQ Period 5'!L15</f>
        <v>0</v>
      </c>
      <c r="Q6" s="120">
        <f>'SDQ Period 6'!L15</f>
        <v>0</v>
      </c>
      <c r="R6" s="120">
        <f>'SDQ Period 7'!L15</f>
        <v>0</v>
      </c>
      <c r="S6" s="120">
        <f>'SDQ Period 8'!L15</f>
        <v>0</v>
      </c>
      <c r="T6" s="120">
        <f>'SDQ Period 9'!L15</f>
        <v>0</v>
      </c>
      <c r="U6" s="120">
        <f>'SDQ Period 1'!M15</f>
        <v>0</v>
      </c>
      <c r="V6" s="120">
        <f>'SDQ Period 2'!M15</f>
        <v>0</v>
      </c>
      <c r="W6" s="120">
        <f>'SDQ Period 3'!M15</f>
        <v>0</v>
      </c>
      <c r="X6" s="120">
        <f>'SDQ Period 4'!M15</f>
        <v>0</v>
      </c>
      <c r="Y6" s="120">
        <f>'SDQ Period 5'!M15</f>
        <v>0</v>
      </c>
      <c r="Z6" s="120">
        <f>'SDQ Period 6'!M15</f>
        <v>0</v>
      </c>
      <c r="AA6" s="120">
        <f>'SDQ Period 7'!M15</f>
        <v>0</v>
      </c>
      <c r="AB6" s="120">
        <f>'SDQ Period 8'!M15</f>
        <v>0</v>
      </c>
      <c r="AC6" s="120">
        <f>'SDQ Period 9'!M15</f>
        <v>0</v>
      </c>
      <c r="AD6" s="121">
        <f>'SDQ Period 1'!N15</f>
        <v>0</v>
      </c>
      <c r="AE6" s="121">
        <f>'SDQ Period 2'!N15</f>
        <v>0</v>
      </c>
      <c r="AF6" s="121">
        <f>'SDQ Period 3'!N15</f>
        <v>0</v>
      </c>
      <c r="AG6" s="121">
        <f>'SDQ Period 4'!N15</f>
        <v>0</v>
      </c>
      <c r="AH6" s="121">
        <f>'SDQ Period 5'!N15</f>
        <v>0</v>
      </c>
      <c r="AI6" s="121">
        <f>'SDQ Period 6'!N15</f>
        <v>0</v>
      </c>
      <c r="AJ6" s="121">
        <f>'SDQ Period 7'!N15</f>
        <v>0</v>
      </c>
      <c r="AK6" s="121">
        <f>'SDQ Period 8'!N15</f>
        <v>0</v>
      </c>
      <c r="AL6" s="121">
        <f>'SDQ Period 9'!N15</f>
        <v>0</v>
      </c>
      <c r="AM6" s="74" t="s">
        <v>23</v>
      </c>
      <c r="AN6" s="75">
        <v>4</v>
      </c>
      <c r="AO6" s="76" t="s">
        <v>24</v>
      </c>
      <c r="AP6" s="77" t="s">
        <v>25</v>
      </c>
    </row>
    <row r="7" spans="2:42" x14ac:dyDescent="0.2">
      <c r="B7" s="122" t="s">
        <v>5</v>
      </c>
      <c r="C7" s="120">
        <f>'SDQ Period 1'!K16</f>
        <v>0</v>
      </c>
      <c r="D7" s="121">
        <f>'SDQ Period 2'!K16</f>
        <v>0</v>
      </c>
      <c r="E7" s="121">
        <f>'SDQ Period 3'!K16</f>
        <v>0</v>
      </c>
      <c r="F7" s="121">
        <f>'SDQ Period 4'!K16</f>
        <v>0</v>
      </c>
      <c r="G7" s="121">
        <f>'SDQ Period 5'!K16</f>
        <v>0</v>
      </c>
      <c r="H7" s="121">
        <f>'SDQ Period 6'!K16</f>
        <v>0</v>
      </c>
      <c r="I7" s="120">
        <f>'SDQ Period 7'!K16</f>
        <v>0</v>
      </c>
      <c r="J7" s="120">
        <f>'SDQ Period 8'!K16</f>
        <v>0</v>
      </c>
      <c r="K7" s="120">
        <f>'SDQ Period 9'!K16</f>
        <v>0</v>
      </c>
      <c r="L7" s="120">
        <f>'SDQ Period 1'!L16</f>
        <v>0</v>
      </c>
      <c r="M7" s="120">
        <f>'SDQ Period 2'!L16</f>
        <v>0</v>
      </c>
      <c r="N7" s="120">
        <f>'SDQ Period 3'!L16</f>
        <v>0</v>
      </c>
      <c r="O7" s="120">
        <f>'SDQ Period 4'!L16</f>
        <v>0</v>
      </c>
      <c r="P7" s="120">
        <f>'SDQ Period 5'!L16</f>
        <v>0</v>
      </c>
      <c r="Q7" s="120">
        <f>'SDQ Period 6'!L16</f>
        <v>0</v>
      </c>
      <c r="R7" s="120">
        <f>'SDQ Period 7'!L16</f>
        <v>0</v>
      </c>
      <c r="S7" s="120">
        <f>'SDQ Period 8'!L16</f>
        <v>0</v>
      </c>
      <c r="T7" s="120">
        <f>'SDQ Period 9'!L16</f>
        <v>0</v>
      </c>
      <c r="U7" s="120">
        <f>'SDQ Period 1'!M16</f>
        <v>0</v>
      </c>
      <c r="V7" s="120">
        <f>'SDQ Period 2'!M16</f>
        <v>0</v>
      </c>
      <c r="W7" s="120">
        <f>'SDQ Period 3'!M16</f>
        <v>0</v>
      </c>
      <c r="X7" s="120">
        <f>'SDQ Period 4'!M16</f>
        <v>0</v>
      </c>
      <c r="Y7" s="120">
        <f>'SDQ Period 5'!M16</f>
        <v>0</v>
      </c>
      <c r="Z7" s="120">
        <f>'SDQ Period 6'!M16</f>
        <v>0</v>
      </c>
      <c r="AA7" s="120">
        <f>'SDQ Period 7'!M16</f>
        <v>0</v>
      </c>
      <c r="AB7" s="120">
        <f>'SDQ Period 8'!M16</f>
        <v>0</v>
      </c>
      <c r="AC7" s="120">
        <f>'SDQ Period 9'!M16</f>
        <v>0</v>
      </c>
      <c r="AD7" s="121">
        <f>'SDQ Period 1'!N16</f>
        <v>0</v>
      </c>
      <c r="AE7" s="121">
        <f>'SDQ Period 2'!N16</f>
        <v>0</v>
      </c>
      <c r="AF7" s="121">
        <f>'SDQ Period 3'!N16</f>
        <v>0</v>
      </c>
      <c r="AG7" s="121">
        <f>'SDQ Period 4'!N16</f>
        <v>0</v>
      </c>
      <c r="AH7" s="121">
        <f>'SDQ Period 5'!N16</f>
        <v>0</v>
      </c>
      <c r="AI7" s="121">
        <f>'SDQ Period 6'!N16</f>
        <v>0</v>
      </c>
      <c r="AJ7" s="121">
        <f>'SDQ Period 7'!N16</f>
        <v>0</v>
      </c>
      <c r="AK7" s="121">
        <f>'SDQ Period 8'!N16</f>
        <v>0</v>
      </c>
      <c r="AL7" s="121">
        <f>'SDQ Period 9'!N16</f>
        <v>0</v>
      </c>
      <c r="AM7" s="74" t="s">
        <v>27</v>
      </c>
      <c r="AN7" s="75" t="s">
        <v>28</v>
      </c>
      <c r="AO7" s="76" t="s">
        <v>29</v>
      </c>
      <c r="AP7" s="77" t="s">
        <v>30</v>
      </c>
    </row>
    <row r="8" spans="2:42" x14ac:dyDescent="0.2">
      <c r="B8" s="122" t="s">
        <v>4</v>
      </c>
      <c r="C8" s="120">
        <f>'SDQ Period 1'!K17</f>
        <v>0</v>
      </c>
      <c r="D8" s="121">
        <f>'SDQ Period 2'!K17</f>
        <v>0</v>
      </c>
      <c r="E8" s="121">
        <f>'SDQ Period 3'!K17</f>
        <v>0</v>
      </c>
      <c r="F8" s="121">
        <f>'SDQ Period 4'!K17</f>
        <v>0</v>
      </c>
      <c r="G8" s="121">
        <f>'SDQ Period 5'!K17</f>
        <v>0</v>
      </c>
      <c r="H8" s="121">
        <f>'SDQ Period 6'!K17</f>
        <v>0</v>
      </c>
      <c r="I8" s="120">
        <f>'SDQ Period 7'!K17</f>
        <v>0</v>
      </c>
      <c r="J8" s="120">
        <f>'SDQ Period 8'!K17</f>
        <v>0</v>
      </c>
      <c r="K8" s="120">
        <f>'SDQ Period 9'!K17</f>
        <v>0</v>
      </c>
      <c r="L8" s="120">
        <f>'SDQ Period 1'!L17</f>
        <v>0</v>
      </c>
      <c r="M8" s="120">
        <f>'SDQ Period 2'!L17</f>
        <v>0</v>
      </c>
      <c r="N8" s="120">
        <f>'SDQ Period 3'!L17</f>
        <v>0</v>
      </c>
      <c r="O8" s="120">
        <f>'SDQ Period 4'!L17</f>
        <v>0</v>
      </c>
      <c r="P8" s="120">
        <f>'SDQ Period 5'!L17</f>
        <v>0</v>
      </c>
      <c r="Q8" s="120">
        <f>'SDQ Period 6'!L17</f>
        <v>0</v>
      </c>
      <c r="R8" s="120">
        <f>'SDQ Period 7'!L17</f>
        <v>0</v>
      </c>
      <c r="S8" s="120">
        <f>'SDQ Period 8'!L17</f>
        <v>0</v>
      </c>
      <c r="T8" s="120">
        <f>'SDQ Period 9'!L17</f>
        <v>0</v>
      </c>
      <c r="U8" s="120">
        <f>'SDQ Period 1'!M17</f>
        <v>0</v>
      </c>
      <c r="V8" s="120">
        <f>'SDQ Period 2'!M17</f>
        <v>0</v>
      </c>
      <c r="W8" s="120">
        <f>'SDQ Period 3'!M17</f>
        <v>0</v>
      </c>
      <c r="X8" s="120">
        <f>'SDQ Period 4'!M17</f>
        <v>0</v>
      </c>
      <c r="Y8" s="120">
        <f>'SDQ Period 5'!M17</f>
        <v>0</v>
      </c>
      <c r="Z8" s="120">
        <f>'SDQ Period 6'!M17</f>
        <v>0</v>
      </c>
      <c r="AA8" s="120">
        <f>'SDQ Period 7'!M17</f>
        <v>0</v>
      </c>
      <c r="AB8" s="120">
        <f>'SDQ Period 8'!M17</f>
        <v>0</v>
      </c>
      <c r="AC8" s="120">
        <f>'SDQ Period 9'!M17</f>
        <v>0</v>
      </c>
      <c r="AD8" s="121">
        <f>'SDQ Period 1'!N17</f>
        <v>0</v>
      </c>
      <c r="AE8" s="121">
        <f>'SDQ Period 2'!N17</f>
        <v>0</v>
      </c>
      <c r="AF8" s="121">
        <f>'SDQ Period 3'!N17</f>
        <v>0</v>
      </c>
      <c r="AG8" s="121">
        <f>'SDQ Period 4'!N17</f>
        <v>0</v>
      </c>
      <c r="AH8" s="121">
        <f>'SDQ Period 5'!N17</f>
        <v>0</v>
      </c>
      <c r="AI8" s="121">
        <f>'SDQ Period 6'!N17</f>
        <v>0</v>
      </c>
      <c r="AJ8" s="121">
        <f>'SDQ Period 7'!N17</f>
        <v>0</v>
      </c>
      <c r="AK8" s="121">
        <f>'SDQ Period 8'!N17</f>
        <v>0</v>
      </c>
      <c r="AL8" s="121">
        <f>'SDQ Period 9'!N17</f>
        <v>0</v>
      </c>
      <c r="AM8" s="74" t="s">
        <v>27</v>
      </c>
      <c r="AN8" s="75" t="s">
        <v>28</v>
      </c>
      <c r="AO8" s="76" t="s">
        <v>32</v>
      </c>
      <c r="AP8" s="77" t="s">
        <v>33</v>
      </c>
    </row>
    <row r="9" spans="2:42" x14ac:dyDescent="0.2">
      <c r="B9" s="122" t="s">
        <v>15</v>
      </c>
      <c r="C9" s="120">
        <f>'SDQ Period 1'!K18</f>
        <v>0</v>
      </c>
      <c r="D9" s="121">
        <f>'SDQ Period 2'!K18</f>
        <v>0</v>
      </c>
      <c r="E9" s="121">
        <f>'SDQ Period 3'!K18</f>
        <v>0</v>
      </c>
      <c r="F9" s="121">
        <f>'SDQ Period 4'!K18</f>
        <v>0</v>
      </c>
      <c r="G9" s="121">
        <f>'SDQ Period 5'!K18</f>
        <v>0</v>
      </c>
      <c r="H9" s="121">
        <f>'SDQ Period 6'!K18</f>
        <v>0</v>
      </c>
      <c r="I9" s="120">
        <f>'SDQ Period 7'!K18</f>
        <v>0</v>
      </c>
      <c r="J9" s="120">
        <f>'SDQ Period 8'!K18</f>
        <v>0</v>
      </c>
      <c r="K9" s="120">
        <f>'SDQ Period 9'!K18</f>
        <v>0</v>
      </c>
      <c r="L9" s="120">
        <f>'SDQ Period 1'!L18</f>
        <v>0</v>
      </c>
      <c r="M9" s="120">
        <f>'SDQ Period 2'!L18</f>
        <v>0</v>
      </c>
      <c r="N9" s="120">
        <f>'SDQ Period 3'!L18</f>
        <v>0</v>
      </c>
      <c r="O9" s="120">
        <f>'SDQ Period 4'!L18</f>
        <v>0</v>
      </c>
      <c r="P9" s="120">
        <f>'SDQ Period 5'!L18</f>
        <v>0</v>
      </c>
      <c r="Q9" s="120">
        <f>'SDQ Period 6'!L18</f>
        <v>0</v>
      </c>
      <c r="R9" s="120">
        <f>'SDQ Period 7'!L18</f>
        <v>0</v>
      </c>
      <c r="S9" s="120">
        <f>'SDQ Period 8'!L18</f>
        <v>0</v>
      </c>
      <c r="T9" s="120">
        <f>'SDQ Period 9'!L18</f>
        <v>0</v>
      </c>
      <c r="U9" s="120">
        <f>'SDQ Period 1'!M18</f>
        <v>0</v>
      </c>
      <c r="V9" s="120">
        <f>'SDQ Period 2'!M18</f>
        <v>0</v>
      </c>
      <c r="W9" s="120">
        <f>'SDQ Period 3'!M18</f>
        <v>0</v>
      </c>
      <c r="X9" s="120">
        <f>'SDQ Period 4'!M18</f>
        <v>0</v>
      </c>
      <c r="Y9" s="120">
        <f>'SDQ Period 5'!M18</f>
        <v>0</v>
      </c>
      <c r="Z9" s="120">
        <f>'SDQ Period 6'!M18</f>
        <v>0</v>
      </c>
      <c r="AA9" s="120">
        <f>'SDQ Period 7'!M18</f>
        <v>0</v>
      </c>
      <c r="AB9" s="120">
        <f>'SDQ Period 8'!M18</f>
        <v>0</v>
      </c>
      <c r="AC9" s="120">
        <f>'SDQ Period 9'!M18</f>
        <v>0</v>
      </c>
      <c r="AD9" s="121">
        <f>'SDQ Period 1'!N18</f>
        <v>0</v>
      </c>
      <c r="AE9" s="121">
        <f>'SDQ Period 2'!N18</f>
        <v>0</v>
      </c>
      <c r="AF9" s="121">
        <f>'SDQ Period 3'!N18</f>
        <v>0</v>
      </c>
      <c r="AG9" s="121">
        <f>'SDQ Period 4'!N18</f>
        <v>0</v>
      </c>
      <c r="AH9" s="121">
        <f>'SDQ Period 5'!N18</f>
        <v>0</v>
      </c>
      <c r="AI9" s="121">
        <f>'SDQ Period 6'!N18</f>
        <v>0</v>
      </c>
      <c r="AJ9" s="121">
        <f>'SDQ Period 7'!N18</f>
        <v>0</v>
      </c>
      <c r="AK9" s="121">
        <f>'SDQ Period 8'!N18</f>
        <v>0</v>
      </c>
      <c r="AL9" s="121">
        <f>'SDQ Period 9'!N18</f>
        <v>0</v>
      </c>
      <c r="AM9" s="74" t="s">
        <v>35</v>
      </c>
      <c r="AN9" s="75" t="s">
        <v>36</v>
      </c>
      <c r="AO9" s="76" t="s">
        <v>37</v>
      </c>
      <c r="AP9" s="77" t="s">
        <v>38</v>
      </c>
    </row>
    <row r="10" spans="2:42" x14ac:dyDescent="0.2">
      <c r="B10" s="122" t="s">
        <v>40</v>
      </c>
      <c r="C10" s="120">
        <f>'SDQ Period 1'!K19</f>
        <v>0</v>
      </c>
      <c r="D10" s="121">
        <f>'SDQ Period 2'!K19</f>
        <v>0</v>
      </c>
      <c r="E10" s="121">
        <f>'SDQ Period 3'!K19</f>
        <v>0</v>
      </c>
      <c r="F10" s="121">
        <f>'SDQ Period 4'!K19</f>
        <v>0</v>
      </c>
      <c r="G10" s="121">
        <f>'SDQ Period 5'!K19</f>
        <v>0</v>
      </c>
      <c r="H10" s="121">
        <f>'SDQ Period 6'!K19</f>
        <v>0</v>
      </c>
      <c r="I10" s="120">
        <f>'SDQ Period 7'!K19</f>
        <v>0</v>
      </c>
      <c r="J10" s="120">
        <f>'SDQ Period 8'!K19</f>
        <v>0</v>
      </c>
      <c r="K10" s="120">
        <f>'SDQ Period 9'!K19</f>
        <v>0</v>
      </c>
      <c r="L10" s="120">
        <f>'SDQ Period 1'!L19</f>
        <v>0</v>
      </c>
      <c r="M10" s="120">
        <f>'SDQ Period 2'!L19</f>
        <v>0</v>
      </c>
      <c r="N10" s="120">
        <f>'SDQ Period 3'!L19</f>
        <v>0</v>
      </c>
      <c r="O10" s="120">
        <f>'SDQ Period 4'!L19</f>
        <v>0</v>
      </c>
      <c r="P10" s="120">
        <f>'SDQ Period 5'!L19</f>
        <v>0</v>
      </c>
      <c r="Q10" s="120">
        <f>'SDQ Period 6'!L19</f>
        <v>0</v>
      </c>
      <c r="R10" s="120">
        <f>'SDQ Period 7'!L19</f>
        <v>0</v>
      </c>
      <c r="S10" s="120">
        <f>'SDQ Period 8'!L19</f>
        <v>0</v>
      </c>
      <c r="T10" s="120">
        <f>'SDQ Period 9'!L19</f>
        <v>0</v>
      </c>
      <c r="U10" s="120">
        <f>'SDQ Period 1'!M19</f>
        <v>0</v>
      </c>
      <c r="V10" s="120">
        <f>'SDQ Period 2'!M19</f>
        <v>0</v>
      </c>
      <c r="W10" s="120">
        <f>'SDQ Period 3'!M19</f>
        <v>0</v>
      </c>
      <c r="X10" s="120">
        <f>'SDQ Period 4'!M19</f>
        <v>0</v>
      </c>
      <c r="Y10" s="120">
        <f>'SDQ Period 5'!M19</f>
        <v>0</v>
      </c>
      <c r="Z10" s="120">
        <f>'SDQ Period 6'!M19</f>
        <v>0</v>
      </c>
      <c r="AA10" s="120">
        <f>'SDQ Period 7'!M19</f>
        <v>0</v>
      </c>
      <c r="AB10" s="120">
        <f>'SDQ Period 8'!M19</f>
        <v>0</v>
      </c>
      <c r="AC10" s="120">
        <f>'SDQ Period 9'!M19</f>
        <v>0</v>
      </c>
      <c r="AD10" s="121">
        <f>'SDQ Period 1'!N19</f>
        <v>0</v>
      </c>
      <c r="AE10" s="121">
        <f>'SDQ Period 2'!N19</f>
        <v>0</v>
      </c>
      <c r="AF10" s="121">
        <f>'SDQ Period 3'!N19</f>
        <v>0</v>
      </c>
      <c r="AG10" s="121">
        <f>'SDQ Period 4'!N19</f>
        <v>0</v>
      </c>
      <c r="AH10" s="121">
        <f>'SDQ Period 5'!N19</f>
        <v>0</v>
      </c>
      <c r="AI10" s="121">
        <f>'SDQ Period 6'!N19</f>
        <v>0</v>
      </c>
      <c r="AJ10" s="121">
        <f>'SDQ Period 7'!N19</f>
        <v>0</v>
      </c>
      <c r="AK10" s="121">
        <f>'SDQ Period 8'!N19</f>
        <v>0</v>
      </c>
      <c r="AL10" s="121">
        <f>'SDQ Period 9'!N19</f>
        <v>0</v>
      </c>
      <c r="AM10" s="74" t="s">
        <v>41</v>
      </c>
      <c r="AN10" s="75" t="s">
        <v>42</v>
      </c>
      <c r="AO10" s="76" t="s">
        <v>43</v>
      </c>
      <c r="AP10" s="77" t="s">
        <v>44</v>
      </c>
    </row>
    <row r="11" spans="2:42" x14ac:dyDescent="0.2">
      <c r="B11" s="122" t="s">
        <v>46</v>
      </c>
      <c r="C11" s="120">
        <f>'SDQ Period 1'!K20</f>
        <v>0</v>
      </c>
      <c r="D11" s="121">
        <f>'SDQ Period 2'!K20</f>
        <v>0</v>
      </c>
      <c r="E11" s="121">
        <f>'SDQ Period 3'!K20</f>
        <v>0</v>
      </c>
      <c r="F11" s="121">
        <f>'SDQ Period 4'!K20</f>
        <v>0</v>
      </c>
      <c r="G11" s="121">
        <f>'SDQ Period 5'!K20</f>
        <v>0</v>
      </c>
      <c r="H11" s="121">
        <f>'SDQ Period 6'!K20</f>
        <v>0</v>
      </c>
      <c r="I11" s="120">
        <f>'SDQ Period 7'!K20</f>
        <v>0</v>
      </c>
      <c r="J11" s="120">
        <f>'SDQ Period 8'!K20</f>
        <v>0</v>
      </c>
      <c r="K11" s="120">
        <f>'SDQ Period 9'!K20</f>
        <v>0</v>
      </c>
      <c r="L11" s="120">
        <f>'SDQ Period 1'!L20</f>
        <v>0</v>
      </c>
      <c r="M11" s="120">
        <f>'SDQ Period 2'!L20</f>
        <v>0</v>
      </c>
      <c r="N11" s="120">
        <f>'SDQ Period 3'!L20</f>
        <v>0</v>
      </c>
      <c r="O11" s="120">
        <f>'SDQ Period 4'!L20</f>
        <v>0</v>
      </c>
      <c r="P11" s="120">
        <f>'SDQ Period 5'!L20</f>
        <v>0</v>
      </c>
      <c r="Q11" s="120">
        <f>'SDQ Period 6'!L20</f>
        <v>0</v>
      </c>
      <c r="R11" s="120">
        <f>'SDQ Period 7'!L20</f>
        <v>0</v>
      </c>
      <c r="S11" s="120">
        <f>'SDQ Period 8'!L20</f>
        <v>0</v>
      </c>
      <c r="T11" s="120">
        <f>'SDQ Period 9'!L20</f>
        <v>0</v>
      </c>
      <c r="U11" s="120">
        <f>'SDQ Period 1'!M20</f>
        <v>0</v>
      </c>
      <c r="V11" s="120">
        <f>'SDQ Period 2'!M20</f>
        <v>0</v>
      </c>
      <c r="W11" s="120">
        <f>'SDQ Period 3'!M20</f>
        <v>0</v>
      </c>
      <c r="X11" s="120">
        <f>'SDQ Period 4'!M20</f>
        <v>0</v>
      </c>
      <c r="Y11" s="120">
        <f>'SDQ Period 5'!M20</f>
        <v>0</v>
      </c>
      <c r="Z11" s="120">
        <f>'SDQ Period 6'!M20</f>
        <v>0</v>
      </c>
      <c r="AA11" s="120">
        <f>'SDQ Period 7'!M20</f>
        <v>0</v>
      </c>
      <c r="AB11" s="120">
        <f>'SDQ Period 8'!M20</f>
        <v>0</v>
      </c>
      <c r="AC11" s="120">
        <f>'SDQ Period 9'!M20</f>
        <v>0</v>
      </c>
      <c r="AD11" s="121">
        <f>'SDQ Period 1'!N20</f>
        <v>0</v>
      </c>
      <c r="AE11" s="121">
        <f>'SDQ Period 2'!N20</f>
        <v>0</v>
      </c>
      <c r="AF11" s="121">
        <f>'SDQ Period 3'!N20</f>
        <v>0</v>
      </c>
      <c r="AG11" s="121">
        <f>'SDQ Period 4'!N20</f>
        <v>0</v>
      </c>
      <c r="AH11" s="121">
        <f>'SDQ Period 5'!N20</f>
        <v>0</v>
      </c>
      <c r="AI11" s="121">
        <f>'SDQ Period 6'!N20</f>
        <v>0</v>
      </c>
      <c r="AJ11" s="121">
        <f>'SDQ Period 7'!N20</f>
        <v>0</v>
      </c>
      <c r="AK11" s="121">
        <f>'SDQ Period 8'!N20</f>
        <v>0</v>
      </c>
      <c r="AL11" s="121">
        <f>'SDQ Period 9'!N20</f>
        <v>0</v>
      </c>
      <c r="AM11" s="74" t="s">
        <v>23</v>
      </c>
      <c r="AN11" s="75" t="s">
        <v>47</v>
      </c>
      <c r="AO11" s="76" t="s">
        <v>48</v>
      </c>
      <c r="AP11" s="77" t="s">
        <v>49</v>
      </c>
    </row>
    <row r="12" spans="2:42" x14ac:dyDescent="0.2">
      <c r="B12" s="122" t="s">
        <v>51</v>
      </c>
      <c r="C12" s="120">
        <f>'SDQ Period 1'!K21</f>
        <v>0</v>
      </c>
      <c r="D12" s="121">
        <f>'SDQ Period 2'!K21</f>
        <v>0</v>
      </c>
      <c r="E12" s="121">
        <f>'SDQ Period 3'!K21</f>
        <v>0</v>
      </c>
      <c r="F12" s="121">
        <f>'SDQ Period 4'!K21</f>
        <v>0</v>
      </c>
      <c r="G12" s="121">
        <f>'SDQ Period 5'!K21</f>
        <v>0</v>
      </c>
      <c r="H12" s="121">
        <f>'SDQ Period 6'!K21</f>
        <v>0</v>
      </c>
      <c r="I12" s="120">
        <f>'SDQ Period 7'!K21</f>
        <v>0</v>
      </c>
      <c r="J12" s="120">
        <f>'SDQ Period 8'!K21</f>
        <v>0</v>
      </c>
      <c r="K12" s="120">
        <f>'SDQ Period 9'!K21</f>
        <v>0</v>
      </c>
      <c r="L12" s="120">
        <f>'SDQ Period 1'!L21</f>
        <v>0</v>
      </c>
      <c r="M12" s="120">
        <f>'SDQ Period 2'!L21</f>
        <v>0</v>
      </c>
      <c r="N12" s="120">
        <f>'SDQ Period 3'!L21</f>
        <v>0</v>
      </c>
      <c r="O12" s="120">
        <f>'SDQ Period 4'!L21</f>
        <v>0</v>
      </c>
      <c r="P12" s="120">
        <f>'SDQ Period 5'!L21</f>
        <v>0</v>
      </c>
      <c r="Q12" s="120">
        <f>'SDQ Period 6'!L21</f>
        <v>0</v>
      </c>
      <c r="R12" s="120">
        <f>'SDQ Period 7'!L21</f>
        <v>0</v>
      </c>
      <c r="S12" s="120">
        <f>'SDQ Period 8'!L21</f>
        <v>0</v>
      </c>
      <c r="T12" s="120">
        <f>'SDQ Period 9'!L21</f>
        <v>0</v>
      </c>
      <c r="U12" s="120">
        <f>'SDQ Period 1'!M21</f>
        <v>0</v>
      </c>
      <c r="V12" s="120">
        <f>'SDQ Period 2'!M21</f>
        <v>0</v>
      </c>
      <c r="W12" s="120">
        <f>'SDQ Period 3'!M21</f>
        <v>0</v>
      </c>
      <c r="X12" s="120">
        <f>'SDQ Period 4'!M21</f>
        <v>0</v>
      </c>
      <c r="Y12" s="120">
        <f>'SDQ Period 5'!M21</f>
        <v>0</v>
      </c>
      <c r="Z12" s="120">
        <f>'SDQ Period 6'!M21</f>
        <v>0</v>
      </c>
      <c r="AA12" s="120">
        <f>'SDQ Period 7'!M21</f>
        <v>0</v>
      </c>
      <c r="AB12" s="120">
        <f>'SDQ Period 8'!M21</f>
        <v>0</v>
      </c>
      <c r="AC12" s="120">
        <f>'SDQ Period 9'!M21</f>
        <v>0</v>
      </c>
      <c r="AD12" s="121">
        <f>'SDQ Period 1'!N21</f>
        <v>0</v>
      </c>
      <c r="AE12" s="121">
        <f>'SDQ Period 2'!N21</f>
        <v>0</v>
      </c>
      <c r="AF12" s="121">
        <f>'SDQ Period 3'!N21</f>
        <v>0</v>
      </c>
      <c r="AG12" s="121">
        <f>'SDQ Period 4'!N21</f>
        <v>0</v>
      </c>
      <c r="AH12" s="121">
        <f>'SDQ Period 5'!N21</f>
        <v>0</v>
      </c>
      <c r="AI12" s="121">
        <f>'SDQ Period 6'!N21</f>
        <v>0</v>
      </c>
      <c r="AJ12" s="121">
        <f>'SDQ Period 7'!N21</f>
        <v>0</v>
      </c>
      <c r="AK12" s="121">
        <f>'SDQ Period 8'!N21</f>
        <v>0</v>
      </c>
      <c r="AL12" s="121">
        <f>'SDQ Period 9'!N21</f>
        <v>0</v>
      </c>
      <c r="AM12" s="74" t="s">
        <v>52</v>
      </c>
      <c r="AN12" s="75" t="s">
        <v>48</v>
      </c>
      <c r="AO12" s="76" t="s">
        <v>53</v>
      </c>
      <c r="AP12" s="77" t="s">
        <v>54</v>
      </c>
    </row>
    <row r="13" spans="2:42" x14ac:dyDescent="0.2">
      <c r="B13" s="122" t="s">
        <v>56</v>
      </c>
      <c r="C13" s="120">
        <f>'SDQ Period 1'!K22</f>
        <v>0</v>
      </c>
      <c r="D13" s="121">
        <f>'SDQ Period 2'!K22</f>
        <v>0</v>
      </c>
      <c r="E13" s="121">
        <f>'SDQ Period 3'!K22</f>
        <v>0</v>
      </c>
      <c r="F13" s="121">
        <f>'SDQ Period 4'!K22</f>
        <v>0</v>
      </c>
      <c r="G13" s="121">
        <f>'SDQ Period 5'!K22</f>
        <v>0</v>
      </c>
      <c r="H13" s="121">
        <f>'SDQ Period 6'!K22</f>
        <v>0</v>
      </c>
      <c r="I13" s="120">
        <f>'SDQ Period 7'!K22</f>
        <v>0</v>
      </c>
      <c r="J13" s="120">
        <f>'SDQ Period 8'!K22</f>
        <v>0</v>
      </c>
      <c r="K13" s="120">
        <f>'SDQ Period 9'!K22</f>
        <v>0</v>
      </c>
      <c r="L13" s="120">
        <f>'SDQ Period 1'!L22</f>
        <v>0</v>
      </c>
      <c r="M13" s="120">
        <f>'SDQ Period 2'!L22</f>
        <v>0</v>
      </c>
      <c r="N13" s="120">
        <f>'SDQ Period 3'!L22</f>
        <v>0</v>
      </c>
      <c r="O13" s="120">
        <f>'SDQ Period 4'!L22</f>
        <v>0</v>
      </c>
      <c r="P13" s="120">
        <f>'SDQ Period 5'!L22</f>
        <v>0</v>
      </c>
      <c r="Q13" s="120">
        <f>'SDQ Period 6'!L22</f>
        <v>0</v>
      </c>
      <c r="R13" s="120">
        <f>'SDQ Period 7'!L22</f>
        <v>0</v>
      </c>
      <c r="S13" s="120">
        <f>'SDQ Period 8'!L22</f>
        <v>0</v>
      </c>
      <c r="T13" s="120">
        <f>'SDQ Period 9'!L22</f>
        <v>0</v>
      </c>
      <c r="U13" s="120">
        <f>'SDQ Period 1'!M22</f>
        <v>0</v>
      </c>
      <c r="V13" s="120">
        <f>'SDQ Period 2'!M22</f>
        <v>0</v>
      </c>
      <c r="W13" s="120">
        <f>'SDQ Period 3'!M22</f>
        <v>0</v>
      </c>
      <c r="X13" s="120">
        <f>'SDQ Period 4'!M22</f>
        <v>0</v>
      </c>
      <c r="Y13" s="120">
        <f>'SDQ Period 5'!M22</f>
        <v>0</v>
      </c>
      <c r="Z13" s="120">
        <f>'SDQ Period 6'!M22</f>
        <v>0</v>
      </c>
      <c r="AA13" s="120">
        <f>'SDQ Period 7'!M22</f>
        <v>0</v>
      </c>
      <c r="AB13" s="120">
        <f>'SDQ Period 8'!M22</f>
        <v>0</v>
      </c>
      <c r="AC13" s="120">
        <f>'SDQ Period 9'!M22</f>
        <v>0</v>
      </c>
      <c r="AD13" s="121">
        <f>'SDQ Period 1'!N22</f>
        <v>0</v>
      </c>
      <c r="AE13" s="121">
        <f>'SDQ Period 2'!N22</f>
        <v>0</v>
      </c>
      <c r="AF13" s="121">
        <f>'SDQ Period 3'!N22</f>
        <v>0</v>
      </c>
      <c r="AG13" s="121">
        <f>'SDQ Period 4'!N22</f>
        <v>0</v>
      </c>
      <c r="AH13" s="121">
        <f>'SDQ Period 5'!N22</f>
        <v>0</v>
      </c>
      <c r="AI13" s="121">
        <f>'SDQ Period 6'!N22</f>
        <v>0</v>
      </c>
      <c r="AJ13" s="121">
        <f>'SDQ Period 7'!N22</f>
        <v>0</v>
      </c>
      <c r="AK13" s="121">
        <f>'SDQ Period 8'!N22</f>
        <v>0</v>
      </c>
      <c r="AL13" s="121">
        <f>'SDQ Period 9'!N22</f>
        <v>0</v>
      </c>
      <c r="AM13" s="74" t="s">
        <v>23</v>
      </c>
      <c r="AN13" s="75" t="s">
        <v>29</v>
      </c>
      <c r="AO13" s="76" t="s">
        <v>24</v>
      </c>
      <c r="AP13" s="77" t="s">
        <v>25</v>
      </c>
    </row>
    <row r="14" spans="2:42" x14ac:dyDescent="0.2">
      <c r="B14" s="122"/>
      <c r="C14" s="120">
        <f>'SDQ Period 1'!K23</f>
        <v>0</v>
      </c>
      <c r="D14" s="121">
        <f>'SDQ Period 2'!K23</f>
        <v>0</v>
      </c>
      <c r="E14" s="121">
        <f>'SDQ Period 3'!K23</f>
        <v>0</v>
      </c>
      <c r="F14" s="121">
        <f>'SDQ Period 4'!K23</f>
        <v>0</v>
      </c>
      <c r="G14" s="121">
        <f>'SDQ Period 5'!K23</f>
        <v>0</v>
      </c>
      <c r="H14" s="121">
        <f>'SDQ Period 6'!K23</f>
        <v>0</v>
      </c>
      <c r="I14" s="120">
        <f>'SDQ Period 7'!K23</f>
        <v>0</v>
      </c>
      <c r="J14" s="120">
        <f>'SDQ Period 8'!K23</f>
        <v>0</v>
      </c>
      <c r="K14" s="120">
        <f>'SDQ Period 9'!K23</f>
        <v>0</v>
      </c>
      <c r="L14" s="120">
        <f>'SDQ Period 1'!L23</f>
        <v>0</v>
      </c>
      <c r="M14" s="120">
        <f>'SDQ Period 2'!L23</f>
        <v>0</v>
      </c>
      <c r="N14" s="120">
        <f>'SDQ Period 3'!L23</f>
        <v>0</v>
      </c>
      <c r="O14" s="120">
        <f>'SDQ Period 4'!L23</f>
        <v>0</v>
      </c>
      <c r="P14" s="120">
        <f>'SDQ Period 5'!L23</f>
        <v>0</v>
      </c>
      <c r="Q14" s="120">
        <f>'SDQ Period 6'!L23</f>
        <v>0</v>
      </c>
      <c r="R14" s="120">
        <f>'SDQ Period 7'!L23</f>
        <v>0</v>
      </c>
      <c r="S14" s="120">
        <f>'SDQ Period 8'!L23</f>
        <v>0</v>
      </c>
      <c r="T14" s="120">
        <f>'SDQ Period 9'!L23</f>
        <v>0</v>
      </c>
      <c r="U14" s="120">
        <f>'SDQ Period 1'!M23</f>
        <v>0</v>
      </c>
      <c r="V14" s="120">
        <f>'SDQ Period 2'!M23</f>
        <v>0</v>
      </c>
      <c r="W14" s="120">
        <f>'SDQ Period 3'!M23</f>
        <v>0</v>
      </c>
      <c r="X14" s="120">
        <f>'SDQ Period 4'!M23</f>
        <v>0</v>
      </c>
      <c r="Y14" s="120">
        <f>'SDQ Period 5'!M23</f>
        <v>0</v>
      </c>
      <c r="Z14" s="120">
        <f>'SDQ Period 6'!M23</f>
        <v>0</v>
      </c>
      <c r="AA14" s="120">
        <f>'SDQ Period 7'!M23</f>
        <v>0</v>
      </c>
      <c r="AB14" s="120">
        <f>'SDQ Period 8'!M23</f>
        <v>0</v>
      </c>
      <c r="AC14" s="120">
        <f>'SDQ Period 9'!M23</f>
        <v>0</v>
      </c>
      <c r="AD14" s="121">
        <f>'SDQ Period 1'!N23</f>
        <v>0</v>
      </c>
      <c r="AE14" s="121">
        <f>'SDQ Period 2'!N23</f>
        <v>0</v>
      </c>
      <c r="AF14" s="121">
        <f>'SDQ Period 3'!N23</f>
        <v>0</v>
      </c>
      <c r="AG14" s="121">
        <f>'SDQ Period 4'!N23</f>
        <v>0</v>
      </c>
      <c r="AH14" s="121">
        <f>'SDQ Period 5'!N23</f>
        <v>0</v>
      </c>
      <c r="AI14" s="121">
        <f>'SDQ Period 6'!N23</f>
        <v>0</v>
      </c>
      <c r="AJ14" s="121">
        <f>'SDQ Period 7'!N23</f>
        <v>0</v>
      </c>
      <c r="AK14" s="121">
        <f>'SDQ Period 8'!N23</f>
        <v>0</v>
      </c>
      <c r="AL14" s="121">
        <f>'SDQ Period 9'!N23</f>
        <v>0</v>
      </c>
      <c r="AM14" s="78"/>
      <c r="AN14" s="78"/>
      <c r="AO14" s="78"/>
      <c r="AP14" s="78"/>
    </row>
    <row r="15" spans="2:42" x14ac:dyDescent="0.2">
      <c r="B15" s="122" t="s">
        <v>13</v>
      </c>
      <c r="C15" s="120">
        <f>'SDQ Period 1'!K24</f>
        <v>0</v>
      </c>
      <c r="D15" s="121">
        <f>'SDQ Period 2'!K24</f>
        <v>0</v>
      </c>
      <c r="E15" s="121">
        <f>'SDQ Period 3'!K24</f>
        <v>0</v>
      </c>
      <c r="F15" s="121">
        <f>'SDQ Period 4'!K24</f>
        <v>0</v>
      </c>
      <c r="G15" s="121">
        <f>'SDQ Period 5'!K24</f>
        <v>0</v>
      </c>
      <c r="H15" s="121">
        <f>'SDQ Period 6'!K24</f>
        <v>0</v>
      </c>
      <c r="I15" s="120">
        <f>'SDQ Period 7'!K24</f>
        <v>0</v>
      </c>
      <c r="J15" s="120">
        <f>'SDQ Period 8'!K24</f>
        <v>0</v>
      </c>
      <c r="K15" s="120">
        <f>'SDQ Period 9'!K24</f>
        <v>0</v>
      </c>
      <c r="L15" s="120">
        <f>'SDQ Period 1'!L24</f>
        <v>0</v>
      </c>
      <c r="M15" s="120">
        <f>'SDQ Period 2'!L24</f>
        <v>0</v>
      </c>
      <c r="N15" s="120">
        <f>'SDQ Period 3'!L24</f>
        <v>0</v>
      </c>
      <c r="O15" s="120">
        <f>'SDQ Period 4'!L24</f>
        <v>0</v>
      </c>
      <c r="P15" s="120">
        <f>'SDQ Period 5'!L24</f>
        <v>0</v>
      </c>
      <c r="Q15" s="120">
        <f>'SDQ Period 6'!L24</f>
        <v>0</v>
      </c>
      <c r="R15" s="120">
        <f>'SDQ Period 7'!L24</f>
        <v>0</v>
      </c>
      <c r="S15" s="120">
        <f>'SDQ Period 8'!L24</f>
        <v>0</v>
      </c>
      <c r="T15" s="120">
        <f>'SDQ Period 9'!L24</f>
        <v>0</v>
      </c>
      <c r="U15" s="120">
        <f>'SDQ Period 1'!M24</f>
        <v>0</v>
      </c>
      <c r="V15" s="120">
        <f>'SDQ Period 2'!M24</f>
        <v>0</v>
      </c>
      <c r="W15" s="120">
        <f>'SDQ Period 3'!M24</f>
        <v>0</v>
      </c>
      <c r="X15" s="120">
        <f>'SDQ Period 4'!M24</f>
        <v>0</v>
      </c>
      <c r="Y15" s="120">
        <f>'SDQ Period 5'!M24</f>
        <v>0</v>
      </c>
      <c r="Z15" s="120">
        <f>'SDQ Period 6'!M24</f>
        <v>0</v>
      </c>
      <c r="AA15" s="120">
        <f>'SDQ Period 7'!M24</f>
        <v>0</v>
      </c>
      <c r="AB15" s="120">
        <f>'SDQ Period 8'!M24</f>
        <v>0</v>
      </c>
      <c r="AC15" s="120">
        <f>'SDQ Period 9'!M24</f>
        <v>0</v>
      </c>
      <c r="AD15" s="121">
        <f>'SDQ Period 1'!N24</f>
        <v>0</v>
      </c>
      <c r="AE15" s="121">
        <f>'SDQ Period 2'!N24</f>
        <v>0</v>
      </c>
      <c r="AF15" s="121">
        <f>'SDQ Period 3'!N24</f>
        <v>0</v>
      </c>
      <c r="AG15" s="121">
        <f>'SDQ Period 4'!N24</f>
        <v>0</v>
      </c>
      <c r="AH15" s="121">
        <f>'SDQ Period 5'!N24</f>
        <v>0</v>
      </c>
      <c r="AI15" s="121">
        <f>'SDQ Period 6'!N24</f>
        <v>0</v>
      </c>
      <c r="AJ15" s="121">
        <f>'SDQ Period 7'!N24</f>
        <v>0</v>
      </c>
      <c r="AK15" s="121">
        <f>'SDQ Period 8'!N24</f>
        <v>0</v>
      </c>
      <c r="AL15" s="121">
        <f>'SDQ Period 9'!N24</f>
        <v>0</v>
      </c>
      <c r="AM15" s="74" t="s">
        <v>48</v>
      </c>
      <c r="AN15" s="75" t="s">
        <v>59</v>
      </c>
      <c r="AO15" s="76" t="s">
        <v>60</v>
      </c>
      <c r="AP15" s="77" t="s">
        <v>35</v>
      </c>
    </row>
  </sheetData>
  <sheetProtection algorithmName="SHA-512" hashValue="b6+eq5NKeCq3jv+TsGAZBKVHFACHwTnV1ZV88FW+tcbA9KMNLn1Hr4DaNvg27RwSBz2ym6DmWS+qKr5T6eqIAw==" saltValue="Jxf6YlQwtiNn/srWlAuarQ==" spinCount="100000" sheet="1" formatCells="0" formatColumns="0" formatRows="0"/>
  <dataConsolidate>
    <dataRefs count="1">
      <dataRef ref="K10:K19" sheet="Autumn Assessment" r:id="rId1"/>
    </dataRefs>
  </dataConsolidate>
  <mergeCells count="5">
    <mergeCell ref="AM4:AP5"/>
    <mergeCell ref="C4:K4"/>
    <mergeCell ref="L4:T4"/>
    <mergeCell ref="AD4:AL4"/>
    <mergeCell ref="U4:AC4"/>
  </mergeCells>
  <phoneticPr fontId="5" type="noConversion"/>
  <pageMargins left="0.7" right="0.7" top="0.75" bottom="0.75" header="0.3" footer="0.3"/>
  <pageSetup scale="54" orientation="landscape"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D110E-3989-4EC0-8655-56EEDFB7FB7D}">
  <dimension ref="C4:Q12"/>
  <sheetViews>
    <sheetView showGridLines="0" workbookViewId="0">
      <selection activeCell="G17" sqref="G17"/>
    </sheetView>
  </sheetViews>
  <sheetFormatPr baseColWidth="10" defaultColWidth="8.83203125" defaultRowHeight="15" x14ac:dyDescent="0.2"/>
  <cols>
    <col min="5" max="5" width="14" customWidth="1"/>
  </cols>
  <sheetData>
    <row r="4" spans="3:17" ht="16" thickBot="1" x14ac:dyDescent="0.25"/>
    <row r="5" spans="3:17" x14ac:dyDescent="0.2">
      <c r="C5" s="9"/>
      <c r="D5" s="11"/>
      <c r="E5" s="11"/>
      <c r="F5" s="11"/>
      <c r="G5" s="11"/>
      <c r="H5" s="11"/>
      <c r="I5" s="11"/>
      <c r="J5" s="11"/>
      <c r="K5" s="11"/>
      <c r="L5" s="11"/>
      <c r="M5" s="11"/>
      <c r="N5" s="11"/>
      <c r="O5" s="11"/>
      <c r="P5" s="11"/>
      <c r="Q5" s="12"/>
    </row>
    <row r="6" spans="3:17" x14ac:dyDescent="0.2">
      <c r="C6" s="4"/>
      <c r="Q6" s="5"/>
    </row>
    <row r="7" spans="3:17" x14ac:dyDescent="0.2">
      <c r="C7" s="4"/>
      <c r="D7" s="1" t="s">
        <v>169</v>
      </c>
      <c r="F7" s="176" t="s">
        <v>154</v>
      </c>
      <c r="G7" s="176"/>
      <c r="H7" s="176"/>
      <c r="I7" s="176"/>
      <c r="J7" s="176"/>
      <c r="K7" s="176"/>
      <c r="L7" s="176"/>
      <c r="M7" s="176"/>
      <c r="N7" s="176"/>
      <c r="O7" s="176"/>
      <c r="P7" s="176"/>
      <c r="Q7" s="5"/>
    </row>
    <row r="8" spans="3:17" x14ac:dyDescent="0.2">
      <c r="C8" s="4"/>
      <c r="F8" s="176" t="s">
        <v>155</v>
      </c>
      <c r="G8" s="176"/>
      <c r="H8" s="176"/>
      <c r="I8" s="176"/>
      <c r="J8" s="176"/>
      <c r="K8" s="176"/>
      <c r="L8" s="176"/>
      <c r="M8" s="176"/>
      <c r="N8" s="176"/>
      <c r="O8" s="17"/>
      <c r="P8" s="17"/>
      <c r="Q8" s="5"/>
    </row>
    <row r="9" spans="3:17" x14ac:dyDescent="0.2">
      <c r="C9" s="4"/>
      <c r="F9" t="s">
        <v>128</v>
      </c>
      <c r="Q9" s="5"/>
    </row>
    <row r="10" spans="3:17" x14ac:dyDescent="0.2">
      <c r="C10" s="4"/>
      <c r="F10" t="s">
        <v>170</v>
      </c>
      <c r="Q10" s="5"/>
    </row>
    <row r="11" spans="3:17" x14ac:dyDescent="0.2">
      <c r="C11" s="4"/>
      <c r="Q11" s="5"/>
    </row>
    <row r="12" spans="3:17" ht="16" thickBot="1" x14ac:dyDescent="0.25">
      <c r="C12" s="6"/>
      <c r="D12" s="13"/>
      <c r="E12" s="13"/>
      <c r="F12" s="13"/>
      <c r="G12" s="13"/>
      <c r="H12" s="13"/>
      <c r="I12" s="13"/>
      <c r="J12" s="13"/>
      <c r="K12" s="13"/>
      <c r="L12" s="13"/>
      <c r="M12" s="13"/>
      <c r="N12" s="13"/>
      <c r="O12" s="13"/>
      <c r="P12" s="13"/>
      <c r="Q12" s="7"/>
    </row>
  </sheetData>
  <mergeCells count="2">
    <mergeCell ref="F7:P7"/>
    <mergeCell ref="F8:N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8533-E0B4-4C89-99A7-21729903EA35}">
  <sheetPr>
    <pageSetUpPr fitToPage="1"/>
  </sheetPr>
  <dimension ref="B1:K57"/>
  <sheetViews>
    <sheetView showGridLines="0" zoomScale="90" zoomScaleNormal="90" workbookViewId="0">
      <selection activeCell="E21" sqref="E21"/>
    </sheetView>
  </sheetViews>
  <sheetFormatPr baseColWidth="10" defaultColWidth="9.1640625" defaultRowHeight="15" x14ac:dyDescent="0.2"/>
  <cols>
    <col min="1" max="2" width="9.1640625" style="18"/>
    <col min="3" max="3" width="33" style="18" customWidth="1"/>
    <col min="4" max="4" width="34.5" style="18" customWidth="1"/>
    <col min="5" max="5" width="28.1640625" style="18" customWidth="1"/>
    <col min="6" max="6" width="23.5" style="18" customWidth="1"/>
    <col min="7" max="7" width="11.6640625" style="18" customWidth="1"/>
    <col min="8" max="8" width="26.83203125" style="18" customWidth="1"/>
    <col min="9" max="9" width="44.1640625" style="18" customWidth="1"/>
    <col min="10" max="10" width="39.83203125" style="18" bestFit="1" customWidth="1"/>
    <col min="11" max="16384" width="9.1640625" style="18"/>
  </cols>
  <sheetData>
    <row r="1" spans="2:11" ht="16" thickBot="1" x14ac:dyDescent="0.25"/>
    <row r="2" spans="2:11" ht="16" thickBot="1" x14ac:dyDescent="0.25">
      <c r="B2" s="19"/>
      <c r="C2" s="20"/>
      <c r="D2" s="20"/>
      <c r="E2" s="20"/>
      <c r="F2" s="20"/>
      <c r="G2" s="20"/>
      <c r="H2" s="20"/>
      <c r="I2" s="20"/>
      <c r="J2" s="20"/>
      <c r="K2" s="21"/>
    </row>
    <row r="3" spans="2:11" ht="16" thickBot="1" x14ac:dyDescent="0.25">
      <c r="B3" s="22"/>
      <c r="D3" s="18" t="s">
        <v>102</v>
      </c>
      <c r="E3" s="89"/>
      <c r="H3" s="24" t="s">
        <v>242</v>
      </c>
      <c r="K3" s="23"/>
    </row>
    <row r="4" spans="2:11" ht="16" thickBot="1" x14ac:dyDescent="0.25">
      <c r="B4" s="22"/>
      <c r="H4" s="24"/>
      <c r="K4" s="23"/>
    </row>
    <row r="5" spans="2:11" ht="16" thickBot="1" x14ac:dyDescent="0.25">
      <c r="B5" s="22"/>
      <c r="H5" s="24" t="s">
        <v>167</v>
      </c>
      <c r="I5" s="159"/>
      <c r="K5" s="23"/>
    </row>
    <row r="6" spans="2:11" ht="16" thickBot="1" x14ac:dyDescent="0.25">
      <c r="B6" s="22"/>
      <c r="C6" s="24"/>
      <c r="F6" s="24"/>
      <c r="H6" s="24"/>
      <c r="K6" s="23"/>
    </row>
    <row r="7" spans="2:11" ht="16" thickBot="1" x14ac:dyDescent="0.25">
      <c r="B7" s="22"/>
      <c r="D7" s="25" t="s">
        <v>152</v>
      </c>
      <c r="E7" s="84"/>
      <c r="F7" s="26"/>
      <c r="H7" s="24" t="s">
        <v>85</v>
      </c>
      <c r="I7" s="160"/>
      <c r="J7" s="24"/>
      <c r="K7" s="23"/>
    </row>
    <row r="8" spans="2:11" ht="16" thickBot="1" x14ac:dyDescent="0.25">
      <c r="B8" s="22"/>
      <c r="D8" s="25" t="s">
        <v>85</v>
      </c>
      <c r="E8" s="85"/>
      <c r="G8" s="26"/>
      <c r="K8" s="23"/>
    </row>
    <row r="9" spans="2:11" ht="16" thickBot="1" x14ac:dyDescent="0.25">
      <c r="B9" s="22"/>
      <c r="D9" s="25" t="s">
        <v>92</v>
      </c>
      <c r="E9" s="84"/>
      <c r="K9" s="23"/>
    </row>
    <row r="10" spans="2:11" x14ac:dyDescent="0.2">
      <c r="B10" s="22"/>
      <c r="D10" s="25"/>
      <c r="E10" s="25"/>
      <c r="K10" s="23"/>
    </row>
    <row r="11" spans="2:11" x14ac:dyDescent="0.2">
      <c r="B11" s="22"/>
      <c r="D11" s="25"/>
      <c r="E11" s="25"/>
      <c r="K11" s="23"/>
    </row>
    <row r="12" spans="2:11" ht="16" thickBot="1" x14ac:dyDescent="0.25">
      <c r="B12" s="22"/>
      <c r="C12" s="24" t="s">
        <v>157</v>
      </c>
      <c r="D12" s="25"/>
      <c r="E12" s="25"/>
      <c r="K12" s="23"/>
    </row>
    <row r="13" spans="2:11" ht="16" thickBot="1" x14ac:dyDescent="0.25">
      <c r="B13" s="22"/>
      <c r="D13" s="25" t="s">
        <v>196</v>
      </c>
      <c r="E13" s="138" t="str">
        <f>'Goal Based Outcomes (GBO)'!Q36</f>
        <v/>
      </c>
      <c r="K13" s="23"/>
    </row>
    <row r="14" spans="2:11" ht="16" thickBot="1" x14ac:dyDescent="0.25">
      <c r="B14" s="22"/>
      <c r="D14" s="25" t="s">
        <v>197</v>
      </c>
      <c r="E14" s="138" t="str">
        <f>IF('&lt;&lt;&lt;Summary SDQs by Period&gt;&gt;&gt;'!H19=0, "", '&lt;&lt;&lt;Summary SDQs by Period&gt;&gt;&gt;'!H19)</f>
        <v/>
      </c>
      <c r="K14" s="23"/>
    </row>
    <row r="15" spans="2:11" ht="16" thickBot="1" x14ac:dyDescent="0.25">
      <c r="B15" s="22"/>
      <c r="D15" s="25"/>
      <c r="E15" s="25"/>
      <c r="K15" s="23"/>
    </row>
    <row r="16" spans="2:11" ht="16" thickBot="1" x14ac:dyDescent="0.25">
      <c r="B16" s="22"/>
      <c r="D16" s="25" t="s">
        <v>112</v>
      </c>
      <c r="E16" s="86" t="str" cm="1">
        <f t="array" ref="E16">IF(SUMPRODUCT(--(TRIM(E29:E37)&lt;&gt;"") + --(TRIM(F29:F37)&lt;&gt;""))=0, "", IF(SUMPRODUCT((E29:E35&lt;&gt;"")*(E30:E36&lt;&gt;"")*(E31:E37&lt;&gt;"")*(F29:F35&lt;&gt;"")*(F30:F36&lt;&gt;"")*(F31:F37&lt;&gt;""))&gt;0, "Complete", "Incomplete"))</f>
        <v/>
      </c>
      <c r="K16" s="23"/>
    </row>
    <row r="17" spans="2:11" x14ac:dyDescent="0.2">
      <c r="B17" s="22"/>
      <c r="E17" s="87"/>
      <c r="F17" s="26"/>
      <c r="H17" s="26"/>
      <c r="K17" s="23"/>
    </row>
    <row r="18" spans="2:11" ht="16" thickBot="1" x14ac:dyDescent="0.25">
      <c r="B18" s="22"/>
      <c r="E18" s="87"/>
      <c r="F18" s="26"/>
      <c r="H18" s="26"/>
      <c r="K18" s="23"/>
    </row>
    <row r="19" spans="2:11" ht="16" thickBot="1" x14ac:dyDescent="0.25">
      <c r="B19" s="22"/>
      <c r="D19" s="25" t="s">
        <v>150</v>
      </c>
      <c r="E19" s="88" t="str">
        <f>E56</f>
        <v/>
      </c>
      <c r="H19" s="26"/>
      <c r="K19" s="23"/>
    </row>
    <row r="20" spans="2:11" ht="16" thickBot="1" x14ac:dyDescent="0.25">
      <c r="B20" s="22"/>
      <c r="E20" s="87"/>
      <c r="F20" s="26"/>
      <c r="H20" s="26"/>
      <c r="K20" s="23"/>
    </row>
    <row r="21" spans="2:11" ht="16" thickBot="1" x14ac:dyDescent="0.25">
      <c r="B21" s="22"/>
      <c r="D21" s="24" t="s">
        <v>107</v>
      </c>
      <c r="E21" s="88" t="str">
        <f>IF(COUNTA(E7,E9,E13,E14,E16,E19)&lt;6,"",IF(AND(ISNUMBER(SEARCH("Yes",E7)),ISNUMBER(SEARCH("Yes",E9)),E16="Complete",ISNUMBER(SEARCH("All in Order",E13)),ISNUMBER(SEARCH("All in Order",E14)),ISNUMBER(SEARCH("Yes",E19))),"Yes","No"))</f>
        <v/>
      </c>
      <c r="F21" s="26"/>
      <c r="H21" s="26"/>
      <c r="K21" s="23"/>
    </row>
    <row r="22" spans="2:11" x14ac:dyDescent="0.2">
      <c r="B22" s="22"/>
      <c r="E22" s="26"/>
      <c r="F22" s="26"/>
      <c r="H22" s="26"/>
      <c r="K22" s="23"/>
    </row>
    <row r="23" spans="2:11" ht="16" thickBot="1" x14ac:dyDescent="0.25">
      <c r="B23" s="41"/>
      <c r="C23" s="42"/>
      <c r="D23" s="42"/>
      <c r="E23" s="93"/>
      <c r="F23" s="93"/>
      <c r="G23" s="42"/>
      <c r="H23" s="93"/>
      <c r="I23" s="42"/>
      <c r="J23" s="42"/>
      <c r="K23" s="43"/>
    </row>
    <row r="24" spans="2:11" x14ac:dyDescent="0.2">
      <c r="B24" s="19"/>
      <c r="C24" s="20"/>
      <c r="D24" s="20"/>
      <c r="E24" s="151"/>
      <c r="F24" s="151"/>
      <c r="G24" s="20"/>
      <c r="H24" s="151"/>
      <c r="I24" s="20"/>
      <c r="J24" s="20"/>
      <c r="K24" s="21"/>
    </row>
    <row r="25" spans="2:11" ht="16" thickBot="1" x14ac:dyDescent="0.25">
      <c r="B25" s="22"/>
      <c r="C25" s="24" t="s">
        <v>156</v>
      </c>
      <c r="E25" s="26"/>
      <c r="F25" s="26"/>
      <c r="H25" s="26"/>
      <c r="K25" s="23"/>
    </row>
    <row r="26" spans="2:11" ht="16" thickBot="1" x14ac:dyDescent="0.25">
      <c r="B26" s="22"/>
      <c r="E26" s="168" t="s">
        <v>115</v>
      </c>
      <c r="F26" s="169"/>
      <c r="G26" s="28"/>
      <c r="H26" s="173" t="s">
        <v>116</v>
      </c>
      <c r="I26" s="174"/>
      <c r="J26" s="175"/>
      <c r="K26" s="23"/>
    </row>
    <row r="27" spans="2:11" ht="16" thickBot="1" x14ac:dyDescent="0.25">
      <c r="B27" s="22"/>
      <c r="E27" s="29" t="s">
        <v>91</v>
      </c>
      <c r="F27" s="29" t="s">
        <v>91</v>
      </c>
      <c r="G27" s="28"/>
      <c r="H27" s="149" t="s">
        <v>120</v>
      </c>
      <c r="I27" s="150"/>
      <c r="J27" s="152"/>
      <c r="K27" s="23"/>
    </row>
    <row r="28" spans="2:11" ht="16" thickBot="1" x14ac:dyDescent="0.25">
      <c r="B28" s="22"/>
      <c r="D28" s="30" t="s">
        <v>78</v>
      </c>
      <c r="E28" s="31" t="s">
        <v>111</v>
      </c>
      <c r="F28" s="31" t="s">
        <v>108</v>
      </c>
      <c r="H28" s="143" t="s">
        <v>119</v>
      </c>
      <c r="I28" s="33" t="s">
        <v>153</v>
      </c>
      <c r="J28" s="155" t="s">
        <v>85</v>
      </c>
      <c r="K28" s="23"/>
    </row>
    <row r="29" spans="2:11" x14ac:dyDescent="0.2">
      <c r="B29" s="22"/>
      <c r="D29" s="35" t="s">
        <v>75</v>
      </c>
      <c r="E29" s="44" t="str">
        <f>IF('Goal Based Outcomes (GBO)'!D13&lt;&gt;"", 'Goal Based Outcomes (GBO)'!D13, IF('Goal Based Outcomes (GBO)'!D36&lt;&gt;"", 'Goal Based Outcomes (GBO)'!D36, IF('Goal Based Outcomes (GBO)'!D59&lt;&gt;"", 'Goal Based Outcomes (GBO)'!D59, IF('Goal Based Outcomes (GBO)'!D82&lt;&gt;"",'Goal Based Outcomes (GBO)'!D82, ""))))</f>
        <v/>
      </c>
      <c r="F29" s="45" t="str">
        <f>IF('SDQ Period 1'!D6&lt;&gt;"", 'SDQ Period 1'!D6, "")</f>
        <v/>
      </c>
      <c r="H29" s="153"/>
      <c r="I29" s="153"/>
      <c r="J29" s="156"/>
      <c r="K29" s="23"/>
    </row>
    <row r="30" spans="2:11" x14ac:dyDescent="0.2">
      <c r="B30" s="22"/>
      <c r="D30" s="35" t="s">
        <v>76</v>
      </c>
      <c r="E30" s="46" t="str">
        <f>IF('Goal Based Outcomes (GBO)'!D14&lt;&gt;"", 'Goal Based Outcomes (GBO)'!D14, IF('Goal Based Outcomes (GBO)'!D37&lt;&gt;"", 'Goal Based Outcomes (GBO)'!D37, IF('Goal Based Outcomes (GBO)'!D60&lt;&gt;"", 'Goal Based Outcomes (GBO)'!D60, IF('Goal Based Outcomes (GBO)'!D83&lt;&gt;"",'Goal Based Outcomes (GBO)'!D83, ""))))</f>
        <v/>
      </c>
      <c r="F30" s="47" t="str">
        <f>IF('SDQ Period 2'!D6&lt;&gt;"", 'SDQ Period 2'!D6, "")</f>
        <v/>
      </c>
      <c r="H30" s="153"/>
      <c r="I30" s="153"/>
      <c r="J30" s="157"/>
      <c r="K30" s="23"/>
    </row>
    <row r="31" spans="2:11" x14ac:dyDescent="0.2">
      <c r="B31" s="22"/>
      <c r="D31" s="35" t="s">
        <v>77</v>
      </c>
      <c r="E31" s="46" t="str">
        <f>IF('Goal Based Outcomes (GBO)'!D15&lt;&gt;"", 'Goal Based Outcomes (GBO)'!D15, IF('Goal Based Outcomes (GBO)'!D38&lt;&gt;"", 'Goal Based Outcomes (GBO)'!D38, IF('Goal Based Outcomes (GBO)'!D61&lt;&gt;"", 'Goal Based Outcomes (GBO)'!D61, IF('Goal Based Outcomes (GBO)'!D84&lt;&gt;"",'Goal Based Outcomes (GBO)'!D84, ""))))</f>
        <v/>
      </c>
      <c r="F31" s="47" t="str">
        <f>IF('SDQ Period 3'!D6&lt;&gt;"", 'SDQ Period 3'!D6, "")</f>
        <v/>
      </c>
      <c r="H31" s="153"/>
      <c r="I31" s="153"/>
      <c r="J31" s="157"/>
      <c r="K31" s="23"/>
    </row>
    <row r="32" spans="2:11" x14ac:dyDescent="0.2">
      <c r="B32" s="22"/>
      <c r="D32" s="35" t="s">
        <v>79</v>
      </c>
      <c r="E32" s="46" t="str">
        <f>IF('Goal Based Outcomes (GBO)'!D16&lt;&gt;"", 'Goal Based Outcomes (GBO)'!D16, IF('Goal Based Outcomes (GBO)'!D39&lt;&gt;"", 'Goal Based Outcomes (GBO)'!D39, IF('Goal Based Outcomes (GBO)'!D62&lt;&gt;"", 'Goal Based Outcomes (GBO)'!D62, IF('Goal Based Outcomes (GBO)'!D85&lt;&gt;"",'Goal Based Outcomes (GBO)'!D85, ""))))</f>
        <v/>
      </c>
      <c r="F32" s="47" t="str">
        <f>IF('SDQ Period 4'!D6&lt;&gt;"", 'SDQ Period 4'!D6, "")</f>
        <v/>
      </c>
      <c r="H32" s="153"/>
      <c r="I32" s="153"/>
      <c r="J32" s="157"/>
      <c r="K32" s="23"/>
    </row>
    <row r="33" spans="2:11" x14ac:dyDescent="0.2">
      <c r="B33" s="22"/>
      <c r="D33" s="35" t="s">
        <v>80</v>
      </c>
      <c r="E33" s="46" t="str">
        <f>IF('Goal Based Outcomes (GBO)'!D17&lt;&gt;"", 'Goal Based Outcomes (GBO)'!D17, IF('Goal Based Outcomes (GBO)'!D40&lt;&gt;"", 'Goal Based Outcomes (GBO)'!D40, IF('Goal Based Outcomes (GBO)'!D63&lt;&gt;"", 'Goal Based Outcomes (GBO)'!D63, IF('Goal Based Outcomes (GBO)'!D86&lt;&gt;"",'Goal Based Outcomes (GBO)'!D86, ""))))</f>
        <v/>
      </c>
      <c r="F33" s="47" t="str">
        <f>IF('SDQ Period 5'!D6&lt;&gt;"", 'SDQ Period 5'!D6, "")</f>
        <v/>
      </c>
      <c r="H33" s="153"/>
      <c r="I33" s="153"/>
      <c r="J33" s="157"/>
      <c r="K33" s="23"/>
    </row>
    <row r="34" spans="2:11" x14ac:dyDescent="0.2">
      <c r="B34" s="22"/>
      <c r="D34" s="35" t="s">
        <v>81</v>
      </c>
      <c r="E34" s="46" t="str">
        <f>IF('Goal Based Outcomes (GBO)'!D18&lt;&gt;"", 'Goal Based Outcomes (GBO)'!D18, IF('Goal Based Outcomes (GBO)'!D41&lt;&gt;"", 'Goal Based Outcomes (GBO)'!D41, IF('Goal Based Outcomes (GBO)'!D64&lt;&gt;"", 'Goal Based Outcomes (GBO)'!D64, IF('Goal Based Outcomes (GBO)'!D87&lt;&gt;"",'Goal Based Outcomes (GBO)'!D87, ""))))</f>
        <v/>
      </c>
      <c r="F34" s="47" t="str">
        <f>IF('SDQ Period 6'!D6&lt;&gt;"", 'SDQ Period 6'!D6, "")</f>
        <v/>
      </c>
      <c r="H34" s="153"/>
      <c r="I34" s="153"/>
      <c r="J34" s="157"/>
      <c r="K34" s="23"/>
    </row>
    <row r="35" spans="2:11" x14ac:dyDescent="0.2">
      <c r="B35" s="22"/>
      <c r="D35" s="35" t="s">
        <v>82</v>
      </c>
      <c r="E35" s="46" t="str">
        <f>IF('Goal Based Outcomes (GBO)'!D19&lt;&gt;"", 'Goal Based Outcomes (GBO)'!D19, IF('Goal Based Outcomes (GBO)'!D42&lt;&gt;"", 'Goal Based Outcomes (GBO)'!D42, IF('Goal Based Outcomes (GBO)'!D65&lt;&gt;"", 'Goal Based Outcomes (GBO)'!D65, IF('Goal Based Outcomes (GBO)'!D88&lt;&gt;"",'Goal Based Outcomes (GBO)'!D88, ""))))</f>
        <v/>
      </c>
      <c r="F35" s="47" t="str">
        <f>IF('SDQ Period 7'!D6&lt;&gt;"", 'SDQ Period 7'!D6, "")</f>
        <v/>
      </c>
      <c r="H35" s="153"/>
      <c r="I35" s="153"/>
      <c r="J35" s="157"/>
      <c r="K35" s="23"/>
    </row>
    <row r="36" spans="2:11" x14ac:dyDescent="0.2">
      <c r="B36" s="22"/>
      <c r="D36" s="35" t="s">
        <v>83</v>
      </c>
      <c r="E36" s="46" t="str">
        <f>IF('Goal Based Outcomes (GBO)'!D20&lt;&gt;"", 'Goal Based Outcomes (GBO)'!D20, IF('Goal Based Outcomes (GBO)'!D43&lt;&gt;"", 'Goal Based Outcomes (GBO)'!D43, IF('Goal Based Outcomes (GBO)'!D66&lt;&gt;"", 'Goal Based Outcomes (GBO)'!D66, IF('Goal Based Outcomes (GBO)'!D89&lt;&gt;"",'Goal Based Outcomes (GBO)'!D89, ""))))</f>
        <v/>
      </c>
      <c r="F36" s="47" t="str">
        <f>IF('SDQ Period 8'!D6&lt;&gt;"", 'SDQ Period 8'!D6, "")</f>
        <v/>
      </c>
      <c r="H36" s="153"/>
      <c r="I36" s="153"/>
      <c r="J36" s="157"/>
      <c r="K36" s="23"/>
    </row>
    <row r="37" spans="2:11" ht="16" thickBot="1" x14ac:dyDescent="0.25">
      <c r="B37" s="22"/>
      <c r="D37" s="38" t="s">
        <v>84</v>
      </c>
      <c r="E37" s="48" t="str">
        <f>IF('Goal Based Outcomes (GBO)'!D21&lt;&gt;"", 'Goal Based Outcomes (GBO)'!D21, IF('Goal Based Outcomes (GBO)'!D44&lt;&gt;"", 'Goal Based Outcomes (GBO)'!D44, IF('Goal Based Outcomes (GBO)'!D67&lt;&gt;"", 'Goal Based Outcomes (GBO)'!D67, IF('Goal Based Outcomes (GBO)'!D90&lt;&gt;"",'Goal Based Outcomes (GBO)'!D90, ""))))</f>
        <v/>
      </c>
      <c r="F37" s="49" t="str">
        <f>IF('SDQ Period 9'!D6&lt;&gt;"", 'SDQ Period 9'!D6, "")</f>
        <v/>
      </c>
      <c r="H37" s="154"/>
      <c r="I37" s="154"/>
      <c r="J37" s="158"/>
      <c r="K37" s="23"/>
    </row>
    <row r="38" spans="2:11" ht="16" thickBot="1" x14ac:dyDescent="0.25">
      <c r="B38" s="41"/>
      <c r="C38" s="42"/>
      <c r="D38" s="42"/>
      <c r="E38" s="42"/>
      <c r="F38" s="42"/>
      <c r="G38" s="42"/>
      <c r="H38" s="42"/>
      <c r="I38" s="42"/>
      <c r="J38" s="42"/>
      <c r="K38" s="43"/>
    </row>
    <row r="39" spans="2:11" ht="16" thickBot="1" x14ac:dyDescent="0.25"/>
    <row r="40" spans="2:11" x14ac:dyDescent="0.2">
      <c r="B40" s="19"/>
      <c r="C40" s="20"/>
      <c r="D40" s="20"/>
      <c r="E40" s="20"/>
      <c r="F40" s="20"/>
      <c r="G40" s="20"/>
      <c r="H40" s="20"/>
      <c r="I40" s="20"/>
      <c r="J40" s="20"/>
      <c r="K40" s="21"/>
    </row>
    <row r="41" spans="2:11" ht="16" thickBot="1" x14ac:dyDescent="0.25">
      <c r="B41" s="79"/>
      <c r="C41" s="24" t="s">
        <v>136</v>
      </c>
      <c r="D41" s="24"/>
      <c r="E41" s="24"/>
      <c r="K41" s="23"/>
    </row>
    <row r="42" spans="2:11" ht="16" thickBot="1" x14ac:dyDescent="0.25">
      <c r="B42" s="79"/>
      <c r="C42" s="24"/>
      <c r="D42" s="55" t="s">
        <v>138</v>
      </c>
      <c r="E42" s="57" t="s">
        <v>139</v>
      </c>
      <c r="F42" s="168" t="s">
        <v>151</v>
      </c>
      <c r="G42" s="170"/>
      <c r="H42" s="170"/>
      <c r="I42" s="170"/>
      <c r="J42" s="169"/>
      <c r="K42" s="23"/>
    </row>
    <row r="43" spans="2:11" ht="16" thickBot="1" x14ac:dyDescent="0.25">
      <c r="B43" s="79"/>
      <c r="C43" s="24"/>
      <c r="D43" s="28"/>
      <c r="E43" s="28"/>
      <c r="K43" s="23"/>
    </row>
    <row r="44" spans="2:11" x14ac:dyDescent="0.2">
      <c r="B44" s="22"/>
      <c r="C44" s="81" t="s">
        <v>137</v>
      </c>
      <c r="D44" s="102" t="str">
        <f>IF(
    COUNTA('Demographic Information'!B3:AD3, 'Demographic Information'!M4:P4)=0,
    "",
    IF(
        COUNTA('Demographic Information'!B3:AD3, 'Demographic Information'!M4:P4)
        =
        (COLUMNS('Demographic Information'!B3:AD3) + COLUMNS('Demographic Information'!M4:P4)),
        "Complete",
        "Incomplete"
    )
)</f>
        <v>Incomplete</v>
      </c>
      <c r="E44" s="90"/>
      <c r="F44" s="171"/>
      <c r="G44" s="171"/>
      <c r="H44" s="171"/>
      <c r="I44" s="171"/>
      <c r="J44" s="172"/>
      <c r="K44" s="23"/>
    </row>
    <row r="45" spans="2:11" ht="16" x14ac:dyDescent="0.2">
      <c r="B45" s="22"/>
      <c r="C45" s="82" t="s">
        <v>140</v>
      </c>
      <c r="D45" s="103" t="str">
        <f>IF(COUNTA('Goal Based Outcomes (GBO)'!L33:Q33)=0, "",
   IF(COUNTIF('Goal Based Outcomes (GBO)'!L33:Q33, "Incomplete")&gt;0, "Incomplete",
   IF(COUNTIF('Goal Based Outcomes (GBO)'!L33:Q33, "Complete")&gt;0, "Complete", "")))</f>
        <v/>
      </c>
      <c r="E45" s="91"/>
      <c r="F45" s="164"/>
      <c r="G45" s="164"/>
      <c r="H45" s="164"/>
      <c r="I45" s="164"/>
      <c r="J45" s="165"/>
      <c r="K45" s="23"/>
    </row>
    <row r="46" spans="2:11" x14ac:dyDescent="0.2">
      <c r="B46" s="22"/>
      <c r="C46" s="82" t="s">
        <v>141</v>
      </c>
      <c r="D46" s="104" t="str" cm="1">
        <f t="array" ref="D46">IF(SUMPRODUCT(--(TRIM('SDQ Period 1'!K45:K48)&lt;&gt;""))=0, "", IF(COUNTIF('SDQ Period 1'!K45:K48, "Incomplete")&gt;0, "Incomplete", "Complete"))</f>
        <v/>
      </c>
      <c r="E46" s="91"/>
      <c r="F46" s="164"/>
      <c r="G46" s="164"/>
      <c r="H46" s="164"/>
      <c r="I46" s="164"/>
      <c r="J46" s="165"/>
      <c r="K46" s="23"/>
    </row>
    <row r="47" spans="2:11" x14ac:dyDescent="0.2">
      <c r="B47" s="22"/>
      <c r="C47" s="82" t="s">
        <v>142</v>
      </c>
      <c r="D47" s="104" t="str" cm="1">
        <f t="array" ref="D47">IF(SUMPRODUCT(--(TRIM('SDQ Period 2'!K45:K48)&lt;&gt;""))=0, "", IF(COUNTIF('SDQ Period 2'!K45:K48, "Incomplete")&gt;0, "Incomplete", "Complete"))</f>
        <v/>
      </c>
      <c r="E47" s="91"/>
      <c r="F47" s="164"/>
      <c r="G47" s="164"/>
      <c r="H47" s="164"/>
      <c r="I47" s="164"/>
      <c r="J47" s="165"/>
      <c r="K47" s="23"/>
    </row>
    <row r="48" spans="2:11" x14ac:dyDescent="0.2">
      <c r="B48" s="22"/>
      <c r="C48" s="82" t="s">
        <v>143</v>
      </c>
      <c r="D48" s="104" t="str" cm="1">
        <f t="array" ref="D48">IF(SUMPRODUCT(--(TRIM('SDQ Period 3'!K45:K48)&lt;&gt;""))=0, "", IF(COUNTIF('SDQ Period 3'!K45:K48, "Incomplete")&gt;0, "Incomplete", "Complete"))</f>
        <v/>
      </c>
      <c r="E48" s="91"/>
      <c r="F48" s="164"/>
      <c r="G48" s="164"/>
      <c r="H48" s="164"/>
      <c r="I48" s="164"/>
      <c r="J48" s="165"/>
      <c r="K48" s="23"/>
    </row>
    <row r="49" spans="2:11" x14ac:dyDescent="0.2">
      <c r="B49" s="22"/>
      <c r="C49" s="82" t="s">
        <v>144</v>
      </c>
      <c r="D49" s="104" t="str" cm="1">
        <f t="array" ref="D49">IF(SUMPRODUCT(--(TRIM('SDQ Period 4'!K45:K48)&lt;&gt;""))=0, "", IF(COUNTIF('SDQ Period 4'!K45:K48, "Incomplete")&gt;0, "Incomplete", "Complete"))</f>
        <v/>
      </c>
      <c r="E49" s="91"/>
      <c r="F49" s="164"/>
      <c r="G49" s="164"/>
      <c r="H49" s="164"/>
      <c r="I49" s="164"/>
      <c r="J49" s="165"/>
      <c r="K49" s="23"/>
    </row>
    <row r="50" spans="2:11" x14ac:dyDescent="0.2">
      <c r="B50" s="22"/>
      <c r="C50" s="82" t="s">
        <v>145</v>
      </c>
      <c r="D50" s="104" t="str" cm="1">
        <f t="array" ref="D50">IF(SUMPRODUCT(--(TRIM('SDQ Period 5'!K45:K48)&lt;&gt;""))=0, "", IF(COUNTIF('SDQ Period 5'!K45:K48, "Incomplete")&gt;0, "Incomplete", "Complete"))</f>
        <v/>
      </c>
      <c r="E50" s="91"/>
      <c r="F50" s="164"/>
      <c r="G50" s="164"/>
      <c r="H50" s="164"/>
      <c r="I50" s="164"/>
      <c r="J50" s="165"/>
      <c r="K50" s="23"/>
    </row>
    <row r="51" spans="2:11" x14ac:dyDescent="0.2">
      <c r="B51" s="22"/>
      <c r="C51" s="82" t="s">
        <v>146</v>
      </c>
      <c r="D51" s="104" t="str" cm="1">
        <f t="array" ref="D51">IF(SUMPRODUCT(--(TRIM('SDQ Period 6'!K45:K48)&lt;&gt;""))=0, "", IF(COUNTIF('SDQ Period 6'!K45:K48, "Incomplete")&gt;0, "Incomplete", "Complete"))</f>
        <v/>
      </c>
      <c r="E51" s="91"/>
      <c r="F51" s="164"/>
      <c r="G51" s="164"/>
      <c r="H51" s="164"/>
      <c r="I51" s="164"/>
      <c r="J51" s="165"/>
      <c r="K51" s="23"/>
    </row>
    <row r="52" spans="2:11" x14ac:dyDescent="0.2">
      <c r="B52" s="22"/>
      <c r="C52" s="82" t="s">
        <v>147</v>
      </c>
      <c r="D52" s="104" t="str" cm="1">
        <f t="array" ref="D52">IF(SUMPRODUCT(--(TRIM('SDQ Period 7'!K45:K48)&lt;&gt;""))=0, "", IF(COUNTIF('SDQ Period 7'!K45:K48, "Incomplete")&gt;0, "Incomplete", "Complete"))</f>
        <v/>
      </c>
      <c r="E52" s="91"/>
      <c r="F52" s="164"/>
      <c r="G52" s="164"/>
      <c r="H52" s="164"/>
      <c r="I52" s="164"/>
      <c r="J52" s="165"/>
      <c r="K52" s="23"/>
    </row>
    <row r="53" spans="2:11" x14ac:dyDescent="0.2">
      <c r="B53" s="22"/>
      <c r="C53" s="82" t="s">
        <v>148</v>
      </c>
      <c r="D53" s="104" t="str" cm="1">
        <f t="array" ref="D53">IF(SUMPRODUCT(--(TRIM('SDQ Period 8'!K45:K48)&lt;&gt;""))=0, "", IF(COUNTIF('SDQ Period 8'!K45:K48, "Incomplete")&gt;0, "Incomplete", "Complete"))</f>
        <v/>
      </c>
      <c r="E53" s="91"/>
      <c r="F53" s="164"/>
      <c r="G53" s="164"/>
      <c r="H53" s="164"/>
      <c r="I53" s="164"/>
      <c r="J53" s="165"/>
      <c r="K53" s="23"/>
    </row>
    <row r="54" spans="2:11" ht="16" thickBot="1" x14ac:dyDescent="0.25">
      <c r="B54" s="22"/>
      <c r="C54" s="83" t="s">
        <v>149</v>
      </c>
      <c r="D54" s="105" t="str" cm="1">
        <f t="array" ref="D54">IF(SUMPRODUCT(--(TRIM('SDQ Period 9'!K45:K48)&lt;&gt;""))=0, "", IF(COUNTIF('SDQ Period 9'!K45:K48, "Incomplete")&gt;0, "Incomplete", "Complete"))</f>
        <v/>
      </c>
      <c r="E54" s="92"/>
      <c r="F54" s="166"/>
      <c r="G54" s="166"/>
      <c r="H54" s="166"/>
      <c r="I54" s="166"/>
      <c r="J54" s="167"/>
      <c r="K54" s="23"/>
    </row>
    <row r="55" spans="2:11" ht="16" thickBot="1" x14ac:dyDescent="0.25">
      <c r="B55" s="22"/>
      <c r="K55" s="23"/>
    </row>
    <row r="56" spans="2:11" ht="16" thickBot="1" x14ac:dyDescent="0.25">
      <c r="B56" s="22"/>
      <c r="E56" s="80" t="str">
        <f>IF(COUNTA(E44:E54)=0, "", IF(COUNTIF(E44:E54, "No")&gt;0, "No", "Yes"))</f>
        <v/>
      </c>
      <c r="F56" s="18" t="s">
        <v>158</v>
      </c>
      <c r="K56" s="23"/>
    </row>
    <row r="57" spans="2:11" ht="16" thickBot="1" x14ac:dyDescent="0.25">
      <c r="B57" s="41"/>
      <c r="C57" s="42"/>
      <c r="D57" s="42"/>
      <c r="E57" s="42"/>
      <c r="F57" s="42"/>
      <c r="G57" s="42"/>
      <c r="H57" s="42"/>
      <c r="I57" s="42"/>
      <c r="J57" s="42"/>
      <c r="K57" s="43"/>
    </row>
  </sheetData>
  <sheetProtection selectLockedCells="1"/>
  <mergeCells count="14">
    <mergeCell ref="E26:F26"/>
    <mergeCell ref="F42:J42"/>
    <mergeCell ref="F44:J44"/>
    <mergeCell ref="H26:J26"/>
    <mergeCell ref="F45:J45"/>
    <mergeCell ref="F51:J51"/>
    <mergeCell ref="F52:J52"/>
    <mergeCell ref="F53:J53"/>
    <mergeCell ref="F54:J54"/>
    <mergeCell ref="F46:J46"/>
    <mergeCell ref="F47:J47"/>
    <mergeCell ref="F48:J48"/>
    <mergeCell ref="F49:J49"/>
    <mergeCell ref="F50:J50"/>
  </mergeCells>
  <phoneticPr fontId="5" type="noConversion"/>
  <conditionalFormatting sqref="E21">
    <cfRule type="cellIs" dxfId="1" priority="1" operator="equal">
      <formula>"Yes"</formula>
    </cfRule>
    <cfRule type="cellIs" dxfId="0" priority="2" operator="equal">
      <formula>"No"</formula>
    </cfRule>
  </conditionalFormatting>
  <dataValidations count="12">
    <dataValidation errorStyle="warning" allowBlank="1" showInputMessage="1" showErrorMessage="1" errorTitle="Consecutive Data" error="NOT eligible for research as 3 consecutive data periods not recorded " promptTitle="Eligible for Research?" prompt="Calculated field based on data below.  No input required.  If 3 consecutive data points have not been included file will not be valid for research." sqref="E16" xr:uid="{AA91BF44-C961-47A9-BA4E-EB14B77EB2B1}"/>
    <dataValidation type="list" allowBlank="1" showInputMessage="1" showErrorMessage="1" promptTitle="GDPR Consent" prompt="Select from drop down.  If yes, include date form was signed and check appropriate signature was received.  If no, file will not be permitted to be included within reported data." sqref="E7" xr:uid="{37A2657A-7ACF-41CA-855D-68CD1BEA8253}">
      <formula1>"Yes - Email sent not opted out, Yes - documented on treatment plan, Yes - new data privacy statement Jan 26, No"</formula1>
    </dataValidation>
    <dataValidation type="list" allowBlank="1" showInputMessage="1" showErrorMessage="1" promptTitle="Appropriate GDPR Signature?" prompt="Select from drop down. Enter yes if appropriate appropriate adult.  If no, file will not be permitted to be included within research data." sqref="E9" xr:uid="{7C190102-B567-450E-927A-DD89D201EB00}">
      <formula1>"Yes, No"</formula1>
    </dataValidation>
    <dataValidation type="date" allowBlank="1" showInputMessage="1" showErrorMessage="1" promptTitle="Date Received" prompt="Signed consent form received" sqref="E8" xr:uid="{19F20312-57BC-49C4-A85E-38D4BFB2C3EE}">
      <formula1>45536</formula1>
      <formula2>49188</formula2>
    </dataValidation>
    <dataValidation allowBlank="1" showInputMessage="1" showErrorMessage="1" promptTitle="Indicates if data criteria met " prompt="Yes: will be updated to database_x000a_No: cannot be uploaded to database" sqref="E21" xr:uid="{FEAF6519-BB00-4006-A467-EBF4A01AD8BA}"/>
    <dataValidation allowBlank="1" showInputMessage="1" showErrorMessage="1" promptTitle="Input Child Reference ID" prompt="Assigned on Treatment Plan e.g. EC0000" sqref="E3" xr:uid="{1D899CAD-39A3-450B-A661-413C380857D7}"/>
    <dataValidation type="date" allowBlank="1" showInputMessage="1" showErrorMessage="1" sqref="E29:E37" xr:uid="{F85377DD-7B1B-4133-8085-7B100266CBA7}">
      <formula1>45901</formula1>
      <formula2>49552</formula2>
    </dataValidation>
    <dataValidation allowBlank="1" showInputMessage="1" showErrorMessage="1" promptTitle="Data Input Checks" prompt="Calculated based on the data input checks below" sqref="E19" xr:uid="{97472C26-15E6-4390-BC16-03E8FC5E54EA}"/>
    <dataValidation type="list" allowBlank="1" showInputMessage="1" showErrorMessage="1" promptTitle="Review Required" prompt="&quot;Incomplete&quot;: therapist to review all blue and green cells on the relevant data input tabs and complete if missed. Decision to be made if okay to proceed with decision documented in text box." sqref="E44:E54" xr:uid="{BEE5A6BE-0D8D-4E29-B4B2-6FA734E956C4}">
      <formula1>"Yes, No"</formula1>
    </dataValidation>
    <dataValidation errorStyle="warning" allowBlank="1" showInputMessage="1" showErrorMessage="1" errorTitle="Consecutive Data" error="NOT eligible for research as 3 consecutive data periods not recorded " sqref="E20:F25 D19:E19 E17:F18 D13:E14" xr:uid="{4B4C960E-A063-483E-9677-CAD6E406737B}"/>
    <dataValidation allowBlank="1" showInputMessage="1" showErrorMessage="1" promptTitle="Prepopulated Data" prompt="These cells check whether all of the blue and green cells have been input on a worksheet.  If yes, no action necessary.  If no, therapist to review." sqref="D44:D54" xr:uid="{4FD3B9B4-C00F-4D45-A823-1563E95418C9}"/>
    <dataValidation type="list" allowBlank="1" showInputMessage="1" showErrorMessage="1" sqref="F7" xr:uid="{FF3D9502-73EA-4FF9-B903-AEE513DA5A2D}">
      <formula1>"Yes, No"</formula1>
    </dataValidation>
  </dataValidations>
  <pageMargins left="0.7" right="0.7" top="0.75" bottom="0.75" header="0.3" footer="0.3"/>
  <pageSetup scale="3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86FA9-AF7C-4343-80A6-FA92A232E74B}">
  <dimension ref="C3:C26"/>
  <sheetViews>
    <sheetView showGridLines="0" workbookViewId="0">
      <selection activeCell="L14" sqref="L14"/>
    </sheetView>
  </sheetViews>
  <sheetFormatPr baseColWidth="10" defaultColWidth="8.83203125" defaultRowHeight="15" x14ac:dyDescent="0.2"/>
  <sheetData>
    <row r="3" spans="3:3" x14ac:dyDescent="0.2">
      <c r="C3" t="s">
        <v>215</v>
      </c>
    </row>
    <row r="5" spans="3:3" x14ac:dyDescent="0.2">
      <c r="C5" s="1" t="s">
        <v>216</v>
      </c>
    </row>
    <row r="7" spans="3:3" x14ac:dyDescent="0.2">
      <c r="C7" s="161" t="s">
        <v>217</v>
      </c>
    </row>
    <row r="8" spans="3:3" x14ac:dyDescent="0.2">
      <c r="C8" s="162" t="s">
        <v>218</v>
      </c>
    </row>
    <row r="9" spans="3:3" x14ac:dyDescent="0.2">
      <c r="C9" s="163" t="s">
        <v>227</v>
      </c>
    </row>
    <row r="10" spans="3:3" x14ac:dyDescent="0.2">
      <c r="C10" s="163" t="s">
        <v>228</v>
      </c>
    </row>
    <row r="11" spans="3:3" x14ac:dyDescent="0.2">
      <c r="C11" s="163"/>
    </row>
    <row r="12" spans="3:3" x14ac:dyDescent="0.2">
      <c r="C12" s="162" t="s">
        <v>232</v>
      </c>
    </row>
    <row r="13" spans="3:3" x14ac:dyDescent="0.2">
      <c r="C13" s="163"/>
    </row>
    <row r="14" spans="3:3" x14ac:dyDescent="0.2">
      <c r="C14" s="162" t="s">
        <v>219</v>
      </c>
    </row>
    <row r="15" spans="3:3" x14ac:dyDescent="0.2">
      <c r="C15" s="163" t="s">
        <v>229</v>
      </c>
    </row>
    <row r="16" spans="3:3" x14ac:dyDescent="0.2">
      <c r="C16" s="163" t="s">
        <v>230</v>
      </c>
    </row>
    <row r="17" spans="3:3" x14ac:dyDescent="0.2">
      <c r="C17" s="163"/>
    </row>
    <row r="18" spans="3:3" x14ac:dyDescent="0.2">
      <c r="C18" s="161" t="s">
        <v>220</v>
      </c>
    </row>
    <row r="19" spans="3:3" x14ac:dyDescent="0.2">
      <c r="C19" s="162" t="s">
        <v>221</v>
      </c>
    </row>
    <row r="20" spans="3:3" x14ac:dyDescent="0.2">
      <c r="C20" s="162"/>
    </row>
    <row r="21" spans="3:3" x14ac:dyDescent="0.2">
      <c r="C21" s="161" t="s">
        <v>222</v>
      </c>
    </row>
    <row r="22" spans="3:3" x14ac:dyDescent="0.2">
      <c r="C22" s="162" t="s">
        <v>223</v>
      </c>
    </row>
    <row r="23" spans="3:3" x14ac:dyDescent="0.2">
      <c r="C23" s="162" t="s">
        <v>224</v>
      </c>
    </row>
    <row r="24" spans="3:3" x14ac:dyDescent="0.2">
      <c r="C24" s="162" t="s">
        <v>225</v>
      </c>
    </row>
    <row r="25" spans="3:3" x14ac:dyDescent="0.2">
      <c r="C25" s="162" t="s">
        <v>226</v>
      </c>
    </row>
    <row r="26" spans="3:3" x14ac:dyDescent="0.2">
      <c r="C26" s="162" t="s">
        <v>231</v>
      </c>
    </row>
  </sheetData>
  <sheetProtection algorithmName="SHA-512" hashValue="vJkokizy0pYeIKGXf/g3alSfI8kUH1pH61wPzO0Rx/mprV3QqLVt0RkLgQ0OSRgOhTon9KNTupBe7OjhaW7pvw==" saltValue="qTdUUryu9an/K3oiI9nwzw==" spinCount="100000" sheet="1" objects="1" scenario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20</vt:i4>
      </vt:variant>
    </vt:vector>
  </HeadingPairs>
  <TitlesOfParts>
    <vt:vector size="20" baseType="lpstr">
      <vt:lpstr>Instructions for Use</vt:lpstr>
      <vt:lpstr>&lt;&lt;&lt;Data Input&gt;&gt;&gt;</vt:lpstr>
      <vt:lpstr>Demographic Information</vt:lpstr>
      <vt:lpstr>Goal Based Outcomes (GBO)</vt:lpstr>
      <vt:lpstr>SDQ Period 1</vt:lpstr>
      <vt:lpstr>SDQ Period 2</vt:lpstr>
      <vt:lpstr>SDQ Period 3</vt:lpstr>
      <vt:lpstr>SDQ Period 4</vt:lpstr>
      <vt:lpstr>SDQ Period 5</vt:lpstr>
      <vt:lpstr>SDQ Period 6</vt:lpstr>
      <vt:lpstr>SDQ Period 7</vt:lpstr>
      <vt:lpstr>SDQ Period 8</vt:lpstr>
      <vt:lpstr>SDQ Period 9</vt:lpstr>
      <vt:lpstr>&lt;&lt;&lt;Summary SDQs by Period&gt;&gt;&gt;</vt:lpstr>
      <vt:lpstr>Summary SDQs Periods 1-3</vt:lpstr>
      <vt:lpstr>Summary SDQs Periods 1-6</vt:lpstr>
      <vt:lpstr>Summary SDQs Periods 1-9</vt:lpstr>
      <vt:lpstr>&lt;&lt;&lt;Data Checks &amp; Verification&gt;&gt;</vt:lpstr>
      <vt:lpstr>Audit</vt:lpstr>
      <vt:lpstr>Version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2025-06-19T12:24:15Z</dcterms:created>
  <dcterms:modified xsi:type="dcterms:W3CDTF">2026-05-25T14:30:19Z</dcterms:modified>
</cp:coreProperties>
</file>