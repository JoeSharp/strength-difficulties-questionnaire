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15" documentId="8_{94CD290A-1EE6-4DCA-966A-C115AB1A39FE}" xr6:coauthVersionLast="47" xr6:coauthVersionMax="47" xr10:uidLastSave="{D510EE73-7C70-4B50-9F24-C57C8B37DC6E}"/>
  <bookViews>
    <workbookView xWindow="-120" yWindow="-120" windowWidth="20730" windowHeight="11160" firstSheet="16" activeTab="18"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33" l="1" a="1"/>
  <c r="H19" i="33" s="1"/>
  <c r="D54" i="6" l="1" a="1"/>
  <c r="D54" i="6" s="1"/>
  <c r="D53" i="6" a="1"/>
  <c r="D53" i="6" s="1"/>
  <c r="D52" i="6" a="1"/>
  <c r="D52" i="6" s="1"/>
  <c r="D51" i="6" a="1"/>
  <c r="D51" i="6" s="1"/>
  <c r="D50" i="6" a="1"/>
  <c r="D50"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5" i="32"/>
  <c r="AD7" i="32"/>
  <c r="AD8" i="32"/>
  <c r="AD9" i="32"/>
  <c r="AD10" i="32"/>
  <c r="AD11" i="32"/>
  <c r="AD12" i="32"/>
  <c r="AD13" i="32"/>
  <c r="AD14" i="32"/>
  <c r="AL6" i="32"/>
  <c r="AK6" i="32"/>
  <c r="AJ6" i="32"/>
  <c r="AI6" i="32"/>
  <c r="AH6" i="32"/>
  <c r="AG6" i="32"/>
  <c r="AF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13" i="29"/>
  <c r="M14"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D49" i="6" l="1" a="1"/>
  <c r="D49" i="6" s="1"/>
  <c r="D48" i="6" a="1"/>
  <c r="D48" i="6" s="1"/>
  <c r="AE6" i="32"/>
  <c r="M6" i="29"/>
  <c r="AE7" i="32"/>
  <c r="M7" i="29"/>
  <c r="AE8" i="32"/>
  <c r="M8" i="29"/>
  <c r="AE9" i="32"/>
  <c r="M9" i="29"/>
  <c r="M15" i="29"/>
  <c r="AE15" i="32"/>
  <c r="D47" i="6" a="1"/>
  <c r="D47" i="6" s="1"/>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0" i="32" l="1"/>
  <c r="M10" i="29"/>
  <c r="AE11" i="32"/>
  <c r="M11" i="29"/>
  <c r="AE12" i="32"/>
  <c r="M12" i="29"/>
  <c r="D6" i="32"/>
  <c r="D7" i="32"/>
  <c r="D7" i="30"/>
  <c r="D6" i="29"/>
  <c r="E14" i="6"/>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<sst xmlns="http://schemas.openxmlformats.org/spreadsheetml/2006/main" count="3189" uniqueCount="236">
  <si>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</si>
  <si>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</si>
  <si>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</si>
  <si>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</si>
  <si>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</si>
  <si>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</si>
  <si>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</si>
  <si>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</si>
  <si>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</si>
  <si>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</si>
  <si>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</si>
  <si>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</si>
  <si>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</si>
  <si>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</si>
  <si>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</si>
  <si>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</si>
  <si>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</si>
  <si>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</si>
  <si>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</si>
  <si>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</si>
  <si>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</si>
  <si>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</si>
  <si>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</si>
  <si>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</si>
  <si>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</si>
  <si>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</si>
  <si>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</si>
  <si>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</si>
  <si>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</si>
  <si>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</si>
  <si>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</si>
  <si>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</si>
  <si>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</si>
  <si>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</si>
  <si>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</si>
  <si>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</si>
  <si>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</si>
  <si>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</si>
  <si>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</si>
  <si>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</si>
  <si>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</si>
  <si>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</si>
  <si>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</si>
  <si>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</si>
  <si>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</si>
  <si>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</si>
  <si>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</si>
  <si>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</si>
  <si>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</si>
  <si>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</si>
  <si>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</si>
  <si>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</si>
  <si>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</si>
  <si>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</si>
  <si>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</si>
  <si>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</si>
  <si>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</si>
  <si>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</si>
  <si>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</si>
  <si>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</si>
  <si>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</si>
  <si>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</si>
  <si>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</si>
  <si>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</si>
  <si>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</si>
  <si>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</si>
  <si>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</si>
  <si>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</si>
  <si>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</si>
  <si>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</si>
  <si>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</si>
  <si>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</si>
  <si>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</si>
  <si>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</si>
  <si>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</si>
  <si>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</si>
  <si>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</si>
  <si>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</si>
  <si>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</si>
  <si>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</si>
  <si>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</si>
  <si>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</si>
  <si>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</si>
  <si>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</si>
  <si>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</si>
  <si>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</si>
  <si>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</si>
  <si>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</si>
  <si>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</si>
  <si>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</si>
  <si>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</si>
  <si>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</si>
  <si>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</si>
  <si>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</si>
  <si>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</si>
  <si>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</si>
  <si>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</si>
  <si>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</si>
  <si>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</si>
  <si>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</si>
  <si>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</si>
  <si>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</si>
  <si>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</si>
  <si>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</si>
  <si>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</si>
  <si>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</si>
  <si>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</si>
  <si>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</si>
  <si>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</si>
  <si>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</si>
  <si>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</si>
  <si>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</si>
  <si>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</si>
  <si>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</si>
  <si>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</si>
  <si>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</si>
  <si>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</si>
  <si>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</si>
  <si>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</si>
  <si>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</si>
  <si>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</si>
  <si>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</si>
  <si>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</si>
  <si>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</si>
  <si>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</si>
  <si>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</si>
  <si>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</si>
  <si>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</si>
  <si>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</si>
  <si>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</si>
  <si>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</si>
  <si>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</si>
  <si>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</si>
  <si>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</si>
  <si>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</si>
  <si>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</si>
  <si>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</si>
  <si>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</si>
  <si>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</si>
  <si>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</si>
  <si>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</si>
  <si>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</si>
  <si>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</si>
  <si>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</si>
  <si>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</si>
  <si>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</si>
  <si>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</si>
  <si>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</si>
  <si>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</si>
  <si>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</si>
  <si>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</si>
  <si>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</si>
  <si>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</si>
  <si>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</si>
  <si>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</si>
  <si>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</si>
  <si>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</si>
  <si>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</si>
  <si>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</si>
  <si>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</si>
  <si>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</si>
  <si>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</si>
  <si>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</si>
  <si>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</si>
  <si>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</si>
  <si>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</si>
  <si>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</si>
  <si>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</si>
  <si>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</si>
  <si>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</si>
  <si>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</si>
  <si>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</si>
  <si>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</si>
  <si>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</si>
  <si>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</si>
  <si>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</si>
  <si>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</si>
  <si>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</si>
  <si>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</si>
  <si>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</si>
  <si>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</si>
  <si>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</si>
  <si>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</si>
  <si>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</si>
  <si>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</si>
  <si>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</si>
  <si>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</si>
  <si>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</si>
  <si>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</si>
  <si>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</si>
  <si>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</si>
  <si>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</si>
  <si>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</si>
  <si>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</si>
  <si>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</si>
  <si>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</si>
  <si>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</si>
  <si>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</si>
  <si>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</si>
  <si>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</si>
  <si>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</si>
  <si>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</si>
  <si>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</si>
  <si>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</si>
  <si>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</si>
  <si>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</si>
  <si>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</si>
  <si>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</si>
  <si>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</si>
  <si>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</si>
  <si>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</si>
  <si>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</si>
  <si>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</si>
  <si>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</si>
  <si>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</si>
  <si>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Female</t>
  </si>
  <si>
    <t>No</t>
  </si>
  <si>
    <t>CCPT</t>
  </si>
  <si>
    <t>N/A</t>
  </si>
  <si>
    <t>DB</t>
  </si>
  <si>
    <t>Behavioural</t>
  </si>
  <si>
    <t>Relational</t>
  </si>
  <si>
    <t>ABC</t>
  </si>
  <si>
    <t>BK</t>
  </si>
  <si>
    <t>BCD</t>
  </si>
  <si>
    <t>DE</t>
  </si>
  <si>
    <t>Yes</t>
  </si>
  <si>
    <t>White British</t>
  </si>
  <si>
    <t>Disability</t>
  </si>
  <si>
    <t>AB</t>
  </si>
  <si>
    <t>Cheltenham</t>
  </si>
  <si>
    <t>Self Esteem/Confidence</t>
  </si>
  <si>
    <t>Trauma Recovery</t>
  </si>
  <si>
    <t>EC0006</t>
  </si>
  <si>
    <t>Physical</t>
  </si>
  <si>
    <t>Private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</si>
</sst>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m/yy"/>
  </numFmts>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0" fillId="0" borderId="0" xfId="0" applyAlignment="1">
      <alignment horizontal="left" wrapText="1"/>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14" fontId="1" fillId="0" borderId="0" xfId="0" applyNumberFormat="1" applyFont="1" applyProtection="1">
      <protection locked="0"/>
    </xf>
    <xf numFmtId="167" fontId="0" fillId="7" borderId="22" xfId="0" applyNumberFormat="1" applyFill="1" applyBorder="1" applyProtection="1">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6</c:v>
                </c:pt>
                <c:pt idx="1">
                  <c:v>4</c:v>
                </c:pt>
                <c:pt idx="2" formatCode="General">
                  <c:v>5</c:v>
                </c:pt>
                <c:pt idx="3" formatCode="General">
                  <c:v>6</c:v>
                </c:pt>
                <c:pt idx="4" formatCode="General">
                  <c:v>21</c:v>
                </c:pt>
                <c:pt idx="5" formatCode="General">
                  <c:v>10</c:v>
                </c:pt>
                <c:pt idx="6" formatCode="General">
                  <c:v>11</c:v>
                </c:pt>
                <c:pt idx="7" formatCode="General">
                  <c:v>4</c:v>
                </c:pt>
                <c:pt idx="9" formatCode="General">
                  <c:v>4</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6</c:v>
                </c:pt>
                <c:pt idx="1">
                  <c:v>3</c:v>
                </c:pt>
                <c:pt idx="2" formatCode="General">
                  <c:v>6</c:v>
                </c:pt>
                <c:pt idx="3" formatCode="General">
                  <c:v>6</c:v>
                </c:pt>
                <c:pt idx="4" formatCode="General">
                  <c:v>21</c:v>
                </c:pt>
                <c:pt idx="5" formatCode="General">
                  <c:v>9</c:v>
                </c:pt>
                <c:pt idx="6" formatCode="General">
                  <c:v>12</c:v>
                </c:pt>
                <c:pt idx="7" formatCode="General">
                  <c:v>5</c:v>
                </c:pt>
                <c:pt idx="9">
                  <c:v>4</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5</c:v>
                </c:pt>
                <c:pt idx="9" formatCode="General">
                  <c:v>4</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6</c:v>
                </c:pt>
                <c:pt idx="9">
                  <c:v>4</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7" formatCode="General">
                  <c:v>7</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6</c:v>
                </c:pt>
                <c:pt idx="1">
                  <c:v>6</c:v>
                </c:pt>
                <c:pt idx="2">
                  <c:v>5</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4</c:v>
                </c:pt>
                <c:pt idx="3" formatCode="General">
                  <c:v>0</c:v>
                </c:pt>
                <c:pt idx="4" formatCode="General">
                  <c:v>0</c:v>
                </c:pt>
                <c:pt idx="5" formatCode="General">
                  <c:v>4</c:v>
                </c:pt>
                <c:pt idx="6" formatCode="General">
                  <c:v>3</c:v>
                </c:pt>
                <c:pt idx="7" formatCode="General">
                  <c:v>3</c:v>
                </c:pt>
                <c:pt idx="8" formatCode="General">
                  <c:v>4</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5</c:v>
                </c:pt>
                <c:pt idx="1">
                  <c:v>5</c:v>
                </c:pt>
                <c:pt idx="2">
                  <c:v>4</c:v>
                </c:pt>
                <c:pt idx="3" formatCode="General">
                  <c:v>0</c:v>
                </c:pt>
                <c:pt idx="4" formatCode="General">
                  <c:v>0</c:v>
                </c:pt>
                <c:pt idx="5" formatCode="General">
                  <c:v>3</c:v>
                </c:pt>
                <c:pt idx="6" formatCode="General">
                  <c:v>6</c:v>
                </c:pt>
                <c:pt idx="7" formatCode="General">
                  <c:v>5</c:v>
                </c:pt>
                <c:pt idx="8" formatCode="General">
                  <c:v>3</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6</c:v>
                </c:pt>
                <c:pt idx="1">
                  <c:v>6</c:v>
                </c:pt>
                <c:pt idx="2">
                  <c:v>6</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21</c:v>
                </c:pt>
                <c:pt idx="1">
                  <c:v>20</c:v>
                </c:pt>
                <c:pt idx="2">
                  <c:v>19</c:v>
                </c:pt>
                <c:pt idx="3" formatCode="General">
                  <c:v>0</c:v>
                </c:pt>
                <c:pt idx="4" formatCode="General">
                  <c:v>0</c:v>
                </c:pt>
                <c:pt idx="5" formatCode="General">
                  <c:v>15</c:v>
                </c:pt>
                <c:pt idx="6" formatCode="General">
                  <c:v>21</c:v>
                </c:pt>
                <c:pt idx="7" formatCode="General">
                  <c:v>20</c:v>
                </c:pt>
                <c:pt idx="8" formatCode="General">
                  <c:v>15</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10</c:v>
                </c:pt>
                <c:pt idx="1">
                  <c:v>9</c:v>
                </c:pt>
                <c:pt idx="2">
                  <c:v>9</c:v>
                </c:pt>
                <c:pt idx="3" formatCode="General">
                  <c:v>0</c:v>
                </c:pt>
                <c:pt idx="4" formatCode="General">
                  <c:v>0</c:v>
                </c:pt>
                <c:pt idx="5" formatCode="General">
                  <c:v>8</c:v>
                </c:pt>
                <c:pt idx="6" formatCode="General">
                  <c:v>9</c:v>
                </c:pt>
                <c:pt idx="7" formatCode="General">
                  <c:v>9</c:v>
                </c:pt>
                <c:pt idx="8" formatCode="General">
                  <c:v>8</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11</c:v>
                </c:pt>
                <c:pt idx="1">
                  <c:v>11</c:v>
                </c:pt>
                <c:pt idx="2">
                  <c:v>10</c:v>
                </c:pt>
                <c:pt idx="3" formatCode="General">
                  <c:v>0</c:v>
                </c:pt>
                <c:pt idx="4" formatCode="General">
                  <c:v>0</c:v>
                </c:pt>
                <c:pt idx="5" formatCode="General">
                  <c:v>7</c:v>
                </c:pt>
                <c:pt idx="6" formatCode="General">
                  <c:v>12</c:v>
                </c:pt>
                <c:pt idx="7" formatCode="General">
                  <c:v>11</c:v>
                </c:pt>
                <c:pt idx="8" formatCode="General">
                  <c:v>7</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4</c:v>
                </c:pt>
                <c:pt idx="1">
                  <c:v>5</c:v>
                </c:pt>
                <c:pt idx="2">
                  <c:v>6</c:v>
                </c:pt>
                <c:pt idx="3" formatCode="General">
                  <c:v>5</c:v>
                </c:pt>
                <c:pt idx="4" formatCode="General">
                  <c:v>5</c:v>
                </c:pt>
                <c:pt idx="5" formatCode="General">
                  <c:v>7</c:v>
                </c:pt>
                <c:pt idx="6" formatCode="General">
                  <c:v>5</c:v>
                </c:pt>
                <c:pt idx="7" formatCode="General">
                  <c:v>6</c:v>
                </c:pt>
                <c:pt idx="8" formatCode="General">
                  <c:v>7</c:v>
                </c:pt>
                <c:pt idx="9">
                  <c:v>0</c:v>
                </c:pt>
                <c:pt idx="10">
                  <c:v>0</c:v>
                </c:pt>
                <c:pt idx="11">
                  <c:v>7</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4</c:v>
                </c:pt>
                <c:pt idx="1">
                  <c:v>4</c:v>
                </c:pt>
                <c:pt idx="2">
                  <c:v>7</c:v>
                </c:pt>
                <c:pt idx="3" formatCode="General">
                  <c:v>0</c:v>
                </c:pt>
                <c:pt idx="4" formatCode="General">
                  <c:v>0</c:v>
                </c:pt>
                <c:pt idx="5" formatCode="General">
                  <c:v>7</c:v>
                </c:pt>
                <c:pt idx="6" formatCode="General">
                  <c:v>4</c:v>
                </c:pt>
                <c:pt idx="7" formatCode="General">
                  <c:v>4</c:v>
                </c:pt>
                <c:pt idx="8" formatCode="General">
                  <c:v>7</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4</c:v>
                </c:pt>
                <c:pt idx="1">
                  <c:v>5</c:v>
                </c:pt>
                <c:pt idx="2">
                  <c:v>6</c:v>
                </c:pt>
                <c:pt idx="3">
                  <c:v>6</c:v>
                </c:pt>
                <c:pt idx="4">
                  <c:v>0</c:v>
                </c:pt>
                <c:pt idx="5">
                  <c:v>0</c:v>
                </c:pt>
                <c:pt idx="6" formatCode="General">
                  <c:v>5</c:v>
                </c:pt>
                <c:pt idx="7" formatCode="General">
                  <c:v>5</c:v>
                </c:pt>
                <c:pt idx="8" formatCode="General">
                  <c:v>6</c:v>
                </c:pt>
                <c:pt idx="9" formatCode="General">
                  <c:v>6</c:v>
                </c:pt>
                <c:pt idx="10" formatCode="General">
                  <c:v>0</c:v>
                </c:pt>
                <c:pt idx="11" formatCode="General">
                  <c:v>0</c:v>
                </c:pt>
                <c:pt idx="12" formatCode="General">
                  <c:v>0</c:v>
                </c:pt>
                <c:pt idx="13" formatCode="General">
                  <c:v>0</c:v>
                </c:pt>
                <c:pt idx="14" formatCode="General">
                  <c:v>0</c:v>
                </c:pt>
                <c:pt idx="15" formatCode="General">
                  <c:v>7</c:v>
                </c:pt>
                <c:pt idx="16" formatCode="General">
                  <c:v>0</c:v>
                </c:pt>
                <c:pt idx="17" formatCode="General">
                  <c:v>0</c:v>
                </c:pt>
                <c:pt idx="18">
                  <c:v>0</c:v>
                </c:pt>
                <c:pt idx="19">
                  <c:v>7</c:v>
                </c:pt>
                <c:pt idx="20">
                  <c:v>7</c:v>
                </c:pt>
                <c:pt idx="21">
                  <c:v>7</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5</c:v>
                </c:pt>
                <c:pt idx="20" formatCode="General">
                  <c:v>3</c:v>
                </c:pt>
                <c:pt idx="21" formatCode="General">
                  <c:v>3</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21</c:v>
                </c:pt>
                <c:pt idx="19" formatCode="General">
                  <c:v>20</c:v>
                </c:pt>
                <c:pt idx="20" formatCode="General">
                  <c:v>15</c:v>
                </c:pt>
                <c:pt idx="21" formatCode="General">
                  <c:v>15</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9</c:v>
                </c:pt>
                <c:pt idx="19" formatCode="General">
                  <c:v>9</c:v>
                </c:pt>
                <c:pt idx="20" formatCode="General">
                  <c:v>8</c:v>
                </c:pt>
                <c:pt idx="21" formatCode="General">
                  <c:v>8</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12</c:v>
                </c:pt>
                <c:pt idx="19" formatCode="General">
                  <c:v>11</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4</c:v>
                </c:pt>
                <c:pt idx="1">
                  <c:v>5</c:v>
                </c:pt>
                <c:pt idx="2">
                  <c:v>6</c:v>
                </c:pt>
                <c:pt idx="3">
                  <c:v>6</c:v>
                </c:pt>
                <c:pt idx="4">
                  <c:v>0</c:v>
                </c:pt>
                <c:pt idx="5">
                  <c:v>0</c:v>
                </c:pt>
                <c:pt idx="6" formatCode="General">
                  <c:v>0</c:v>
                </c:pt>
                <c:pt idx="7" formatCode="General">
                  <c:v>0</c:v>
                </c:pt>
                <c:pt idx="8" formatCode="General">
                  <c:v>0</c:v>
                </c:pt>
                <c:pt idx="9" formatCode="General">
                  <c:v>5</c:v>
                </c:pt>
                <c:pt idx="10" formatCode="General">
                  <c:v>5</c:v>
                </c:pt>
                <c:pt idx="11" formatCode="General">
                  <c:v>6</c:v>
                </c:pt>
                <c:pt idx="12" formatCode="General">
                  <c:v>6</c:v>
                </c:pt>
                <c:pt idx="13" formatCode="General">
                  <c:v>0</c:v>
                </c:pt>
                <c:pt idx="14" formatCode="General">
                  <c:v>0</c:v>
                </c:pt>
                <c:pt idx="15" formatCode="General">
                  <c:v>0</c:v>
                </c:pt>
                <c:pt idx="16" formatCode="General">
                  <c:v>0</c:v>
                </c:pt>
                <c:pt idx="17" formatCode="General">
                  <c:v>0</c:v>
                </c:pt>
                <c:pt idx="18" formatCode="General">
                  <c:v>5</c:v>
                </c:pt>
                <c:pt idx="19" formatCode="General">
                  <c:v>6</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7</c:v>
                </c:pt>
                <c:pt idx="30">
                  <c:v>7</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4</c:v>
                </c:pt>
                <c:pt idx="19" formatCode="General">
                  <c:v>4</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defaultRowHeight="15" x14ac:dyDescent="0.25"/>
  <cols>
    <col min="5" max="5" width="18.7109375" customWidth="1"/>
    <col min="6" max="6" width="21.28515625" customWidth="1"/>
    <col min="17" max="17" width="14" customWidth="1"/>
  </cols>
  <sheetData>
    <row r="1" spans="2:17" ht="15.75" thickBot="1" x14ac:dyDescent="0.3"/>
    <row r="2" spans="2:17" x14ac:dyDescent="0.25">
      <c r="B2" s="10"/>
      <c r="C2" s="11" t="s">
        <v>98</v>
      </c>
      <c r="D2" s="12"/>
      <c r="E2" s="12"/>
      <c r="F2" s="12"/>
      <c r="G2" s="12"/>
      <c r="H2" s="12"/>
      <c r="I2" s="12"/>
      <c r="J2" s="12"/>
      <c r="K2" s="12"/>
      <c r="L2" s="12"/>
      <c r="M2" s="12"/>
      <c r="N2" s="12"/>
      <c r="O2" s="12"/>
      <c r="P2" s="12"/>
      <c r="Q2" s="13"/>
    </row>
    <row r="3" spans="2:17" ht="7.5" customHeight="1" x14ac:dyDescent="0.25">
      <c r="B3" s="4"/>
      <c r="Q3" s="5"/>
    </row>
    <row r="4" spans="2:17" x14ac:dyDescent="0.25">
      <c r="B4" s="4"/>
      <c r="C4">
        <v>1</v>
      </c>
      <c r="D4" t="s">
        <v>187</v>
      </c>
      <c r="Q4" s="5"/>
    </row>
    <row r="5" spans="2:17" x14ac:dyDescent="0.25">
      <c r="B5" s="4"/>
      <c r="C5">
        <v>2</v>
      </c>
      <c r="D5" t="s">
        <v>130</v>
      </c>
      <c r="Q5" s="5"/>
    </row>
    <row r="6" spans="2:17" x14ac:dyDescent="0.25">
      <c r="B6" s="4"/>
      <c r="C6">
        <v>3</v>
      </c>
      <c r="D6" t="s">
        <v>94</v>
      </c>
      <c r="Q6" s="5"/>
    </row>
    <row r="7" spans="2:17" x14ac:dyDescent="0.25">
      <c r="B7" s="4"/>
      <c r="E7" t="s">
        <v>95</v>
      </c>
      <c r="Q7" s="5"/>
    </row>
    <row r="8" spans="2:17" x14ac:dyDescent="0.25">
      <c r="B8" s="4"/>
      <c r="F8" t="s">
        <v>89</v>
      </c>
      <c r="G8" t="s">
        <v>99</v>
      </c>
      <c r="Q8" s="5"/>
    </row>
    <row r="9" spans="2:17" x14ac:dyDescent="0.25">
      <c r="B9" s="4"/>
      <c r="F9" t="s">
        <v>112</v>
      </c>
      <c r="G9" t="s">
        <v>132</v>
      </c>
      <c r="Q9" s="5"/>
    </row>
    <row r="10" spans="2:17" x14ac:dyDescent="0.25">
      <c r="B10" s="4"/>
      <c r="F10" t="s">
        <v>111</v>
      </c>
      <c r="G10" t="s">
        <v>113</v>
      </c>
      <c r="Q10" s="5"/>
    </row>
    <row r="11" spans="2:17" x14ac:dyDescent="0.25">
      <c r="B11" s="4"/>
      <c r="C11">
        <v>4</v>
      </c>
      <c r="D11" t="s">
        <v>172</v>
      </c>
      <c r="Q11" s="5"/>
    </row>
    <row r="12" spans="2:17" x14ac:dyDescent="0.25">
      <c r="B12" s="4"/>
      <c r="F12" t="s">
        <v>176</v>
      </c>
      <c r="Q12" s="5"/>
    </row>
    <row r="13" spans="2:17" x14ac:dyDescent="0.25">
      <c r="B13" s="4"/>
      <c r="F13" t="s">
        <v>175</v>
      </c>
      <c r="Q13" s="5"/>
    </row>
    <row r="14" spans="2:17" x14ac:dyDescent="0.25">
      <c r="B14" s="4"/>
      <c r="Q14" s="5"/>
    </row>
    <row r="15" spans="2:17" x14ac:dyDescent="0.25">
      <c r="B15" s="4"/>
      <c r="C15">
        <v>5</v>
      </c>
      <c r="D15" t="s">
        <v>173</v>
      </c>
      <c r="F15" s="147" t="s">
        <v>157</v>
      </c>
      <c r="G15" s="147"/>
      <c r="H15" s="147"/>
      <c r="I15" s="147"/>
      <c r="J15" s="147"/>
      <c r="K15" s="147"/>
      <c r="L15" s="147"/>
      <c r="M15" s="147"/>
      <c r="N15" s="147"/>
      <c r="O15" s="147"/>
      <c r="P15" s="147"/>
      <c r="Q15" s="5"/>
    </row>
    <row r="16" spans="2:17" ht="15" customHeight="1" x14ac:dyDescent="0.25">
      <c r="B16" s="4"/>
      <c r="F16" s="18" t="s">
        <v>158</v>
      </c>
      <c r="G16" s="18"/>
      <c r="H16" s="18"/>
      <c r="I16" s="18"/>
      <c r="J16" s="18"/>
      <c r="K16" s="18"/>
      <c r="L16" s="18"/>
      <c r="M16" s="18"/>
      <c r="N16" s="18"/>
      <c r="O16" s="18"/>
      <c r="P16" s="18"/>
      <c r="Q16" s="5"/>
    </row>
    <row r="17" spans="2:17" ht="15" customHeight="1" x14ac:dyDescent="0.25">
      <c r="B17" s="4"/>
      <c r="F17" t="s">
        <v>131</v>
      </c>
      <c r="Q17" s="5"/>
    </row>
    <row r="18" spans="2:17" ht="8.25" customHeight="1" x14ac:dyDescent="0.25">
      <c r="B18" s="4"/>
      <c r="Q18" s="5"/>
    </row>
    <row r="19" spans="2:17" x14ac:dyDescent="0.25">
      <c r="B19" s="4"/>
      <c r="C19" s="1" t="s">
        <v>100</v>
      </c>
      <c r="Q19" s="5"/>
    </row>
    <row r="20" spans="2:17" ht="15.75" thickBot="1" x14ac:dyDescent="0.3">
      <c r="B20" s="4"/>
      <c r="Q20" s="5"/>
    </row>
    <row r="21" spans="2:17" ht="15.75" thickBot="1" x14ac:dyDescent="0.3">
      <c r="B21" s="4"/>
      <c r="E21" s="16"/>
      <c r="F21" t="s">
        <v>96</v>
      </c>
      <c r="Q21" s="5"/>
    </row>
    <row r="22" spans="2:17" ht="15.75" thickBot="1" x14ac:dyDescent="0.3">
      <c r="B22" s="4"/>
      <c r="Q22" s="5"/>
    </row>
    <row r="23" spans="2:17" ht="15.75" thickBot="1" x14ac:dyDescent="0.3">
      <c r="B23" s="4"/>
      <c r="E23" s="15"/>
      <c r="F23" t="s">
        <v>97</v>
      </c>
      <c r="Q23" s="5"/>
    </row>
    <row r="24" spans="2:17" ht="15.75" thickBot="1" x14ac:dyDescent="0.3">
      <c r="B24" s="4"/>
      <c r="Q24" s="5"/>
    </row>
    <row r="25" spans="2:17" ht="15.75" thickBot="1" x14ac:dyDescent="0.3">
      <c r="B25" s="4"/>
      <c r="E25" s="84"/>
      <c r="F25" t="s">
        <v>138</v>
      </c>
      <c r="Q25" s="5"/>
    </row>
    <row r="26" spans="2:17" ht="15.75" thickBot="1" x14ac:dyDescent="0.3">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defaultRowHeight="15" x14ac:dyDescent="0.25"/>
  <cols>
    <col min="6" max="6" width="68.7109375" customWidth="1"/>
  </cols>
  <sheetData>
    <row r="3" spans="2:11" ht="15.75" thickBot="1" x14ac:dyDescent="0.3"/>
    <row r="4" spans="2:11" x14ac:dyDescent="0.25">
      <c r="B4" s="10"/>
      <c r="C4" s="12"/>
      <c r="D4" s="12"/>
      <c r="E4" s="12"/>
      <c r="F4" s="12"/>
      <c r="G4" s="12"/>
      <c r="H4" s="12"/>
      <c r="I4" s="12"/>
      <c r="J4" s="12"/>
      <c r="K4" s="13"/>
    </row>
    <row r="5" spans="2:11" x14ac:dyDescent="0.25">
      <c r="B5" s="4"/>
      <c r="C5" s="1" t="s">
        <v>100</v>
      </c>
      <c r="K5" s="5"/>
    </row>
    <row r="6" spans="2:11" ht="15.75" thickBot="1" x14ac:dyDescent="0.3">
      <c r="B6" s="4"/>
      <c r="K6" s="5"/>
    </row>
    <row r="7" spans="2:11" ht="15.75" thickBot="1" x14ac:dyDescent="0.3">
      <c r="B7" s="4"/>
      <c r="E7" s="16"/>
      <c r="F7" t="s">
        <v>96</v>
      </c>
      <c r="K7" s="5"/>
    </row>
    <row r="8" spans="2:11" ht="15.75" thickBot="1" x14ac:dyDescent="0.3">
      <c r="B8" s="4"/>
      <c r="K8" s="5"/>
    </row>
    <row r="9" spans="2:11" ht="15.75" thickBot="1" x14ac:dyDescent="0.3">
      <c r="B9" s="4"/>
      <c r="E9" s="15"/>
      <c r="F9" t="s">
        <v>116</v>
      </c>
      <c r="K9" s="5"/>
    </row>
    <row r="10" spans="2:11" ht="15.75" thickBot="1" x14ac:dyDescent="0.3">
      <c r="B10" s="4"/>
      <c r="K10" s="5"/>
    </row>
    <row r="11" spans="2:11" ht="15.75" thickBot="1" x14ac:dyDescent="0.3">
      <c r="B11" s="4"/>
      <c r="E11" s="84"/>
      <c r="F11" t="s">
        <v>138</v>
      </c>
      <c r="K11" s="5"/>
    </row>
    <row r="12" spans="2:11" x14ac:dyDescent="0.25">
      <c r="B12" s="4"/>
      <c r="K12" s="5"/>
    </row>
    <row r="13" spans="2:11" x14ac:dyDescent="0.25">
      <c r="B13" s="4"/>
      <c r="C13" s="1" t="s">
        <v>103</v>
      </c>
      <c r="K13" s="5"/>
    </row>
    <row r="14" spans="2:11" x14ac:dyDescent="0.25">
      <c r="B14" s="4"/>
      <c r="E14" t="s">
        <v>117</v>
      </c>
      <c r="K14" s="5"/>
    </row>
    <row r="15" spans="2:11" x14ac:dyDescent="0.25">
      <c r="B15" s="4"/>
      <c r="E15" t="s">
        <v>124</v>
      </c>
      <c r="K15" s="5"/>
    </row>
    <row r="16" spans="2:11" x14ac:dyDescent="0.25">
      <c r="B16" s="4"/>
      <c r="E16" t="s">
        <v>125</v>
      </c>
      <c r="K16" s="5"/>
    </row>
    <row r="17" spans="2:11" ht="15.75" thickBot="1" x14ac:dyDescent="0.3">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topLeftCell="F1" workbookViewId="0">
      <selection activeCell="N2" sqref="N2"/>
    </sheetView>
  </sheetViews>
  <sheetFormatPr defaultRowHeight="15" x14ac:dyDescent="0.25"/>
  <cols>
    <col min="1" max="1" width="12.140625" bestFit="1" customWidth="1"/>
    <col min="2" max="3" width="12.140625" customWidth="1"/>
    <col min="5" max="5" width="31.28515625" bestFit="1" customWidth="1"/>
    <col min="6" max="6" width="15.28515625" bestFit="1" customWidth="1"/>
    <col min="7" max="7" width="14.140625" bestFit="1" customWidth="1"/>
    <col min="8" max="8" width="15.42578125" bestFit="1" customWidth="1"/>
    <col min="9" max="9" width="17" bestFit="1" customWidth="1"/>
    <col min="10" max="12" width="27.140625" bestFit="1" customWidth="1"/>
    <col min="13" max="13" width="12.140625" customWidth="1"/>
    <col min="14" max="14" width="14.5703125" bestFit="1" customWidth="1"/>
  </cols>
  <sheetData>
    <row r="1" spans="1:14" s="2" customFormat="1" ht="15.75" thickBot="1" x14ac:dyDescent="0.3">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5.75" thickBot="1" x14ac:dyDescent="0.3">
      <c r="A2" s="180">
        <v>44228</v>
      </c>
      <c r="B2" s="55" t="s">
        <v>215</v>
      </c>
      <c r="C2" s="55" t="s">
        <v>230</v>
      </c>
      <c r="D2" s="56" t="s">
        <v>227</v>
      </c>
      <c r="E2" s="55" t="s">
        <v>216</v>
      </c>
      <c r="F2" s="55" t="s">
        <v>228</v>
      </c>
      <c r="G2" s="55" t="s">
        <v>234</v>
      </c>
      <c r="H2" s="55" t="s">
        <v>216</v>
      </c>
      <c r="I2" s="55" t="s">
        <v>217</v>
      </c>
      <c r="J2" s="55" t="s">
        <v>218</v>
      </c>
      <c r="K2" s="55" t="s">
        <v>218</v>
      </c>
      <c r="L2" s="55" t="s">
        <v>218</v>
      </c>
      <c r="M2" s="55">
        <v>1</v>
      </c>
      <c r="N2" s="57" t="s">
        <v>235</v>
      </c>
    </row>
    <row r="3" spans="1:14" x14ac:dyDescent="0.25">
      <c r="D3" s="3"/>
      <c r="E3" s="3"/>
      <c r="F3" s="3"/>
      <c r="G3" s="3"/>
    </row>
    <row r="4" spans="1:14" x14ac:dyDescent="0.25">
      <c r="D4" s="1"/>
      <c r="E4" s="1"/>
      <c r="F4" s="1"/>
      <c r="G4" s="1"/>
      <c r="H4" s="1"/>
      <c r="I4" s="1"/>
      <c r="J4" s="1"/>
      <c r="K4" s="1"/>
      <c r="L4" s="1"/>
    </row>
    <row r="5" spans="1:14" x14ac:dyDescent="0.25">
      <c r="D5" s="3"/>
      <c r="E5" s="3"/>
      <c r="F5" s="3"/>
      <c r="G5" s="3"/>
    </row>
    <row r="6" spans="1:14" ht="15.75" x14ac:dyDescent="0.25">
      <c r="D6" s="3"/>
      <c r="E6" s="3"/>
      <c r="F6" s="3"/>
      <c r="G6" s="17"/>
      <c r="H6" s="1"/>
      <c r="I6" s="1"/>
      <c r="J6" s="1"/>
      <c r="K6" s="1"/>
      <c r="L6" s="1"/>
    </row>
    <row r="7" spans="1:14" x14ac:dyDescent="0.25">
      <c r="D7" s="3"/>
      <c r="E7" s="3"/>
      <c r="F7" s="3"/>
      <c r="G7" s="3"/>
    </row>
    <row r="8" spans="1:14" x14ac:dyDescent="0.25">
      <c r="D8" s="3"/>
      <c r="E8" s="3"/>
      <c r="F8" s="3"/>
      <c r="G8" s="3"/>
      <c r="H8" s="1"/>
      <c r="I8" s="1"/>
      <c r="J8" s="1"/>
      <c r="K8" s="1"/>
      <c r="L8" s="1"/>
    </row>
    <row r="9" spans="1:14" x14ac:dyDescent="0.25">
      <c r="D9" s="3"/>
      <c r="E9" s="3"/>
      <c r="F9" s="3"/>
      <c r="G9" s="3"/>
    </row>
    <row r="10" spans="1:14" x14ac:dyDescent="0.25">
      <c r="D10" s="3"/>
      <c r="E10" s="3"/>
      <c r="F10" s="3"/>
      <c r="G10" s="3"/>
      <c r="H10" s="1"/>
      <c r="I10" s="1"/>
      <c r="J10" s="1"/>
      <c r="K10" s="1"/>
      <c r="L10" s="1"/>
    </row>
    <row r="11" spans="1:14" x14ac:dyDescent="0.25">
      <c r="D11" s="3"/>
      <c r="E11" s="3"/>
      <c r="F11" s="3"/>
      <c r="G11" s="3"/>
    </row>
    <row r="12" spans="1:14" x14ac:dyDescent="0.25">
      <c r="D12" s="3"/>
      <c r="E12" s="3"/>
      <c r="F12" s="3"/>
      <c r="G12" s="3"/>
      <c r="H12" s="1"/>
      <c r="I12" s="1"/>
      <c r="J12" s="1"/>
      <c r="K12" s="1"/>
      <c r="L12" s="1"/>
    </row>
    <row r="13" spans="1:14" x14ac:dyDescent="0.25">
      <c r="D13" s="3"/>
      <c r="E13" s="3"/>
      <c r="F13" s="3"/>
      <c r="G13" s="3"/>
    </row>
    <row r="14" spans="1:14" x14ac:dyDescent="0.25">
      <c r="D14" s="3"/>
      <c r="E14" s="3"/>
      <c r="F14" s="3"/>
      <c r="G14" s="3"/>
      <c r="H14" s="1"/>
      <c r="I14" s="1"/>
      <c r="J14" s="1"/>
      <c r="K14" s="1"/>
      <c r="L14" s="1"/>
    </row>
    <row r="15" spans="1:14" x14ac:dyDescent="0.25">
      <c r="D15" s="3"/>
      <c r="E15" s="3"/>
      <c r="F15" s="3"/>
      <c r="G15" s="3"/>
    </row>
    <row r="16" spans="1:14" x14ac:dyDescent="0.25">
      <c r="D16" s="3"/>
      <c r="E16" s="3"/>
      <c r="F16" s="3"/>
      <c r="G16" s="3"/>
    </row>
    <row r="17" spans="4:7" x14ac:dyDescent="0.25">
      <c r="D17" s="3"/>
      <c r="E17" s="3"/>
      <c r="F17" s="3"/>
      <c r="G17" s="3"/>
    </row>
    <row r="18" spans="4:7" x14ac:dyDescent="0.25">
      <c r="D18" s="3"/>
      <c r="E18" s="3"/>
      <c r="F18" s="3"/>
      <c r="G18" s="3"/>
    </row>
    <row r="19" spans="4:7" x14ac:dyDescent="0.25">
      <c r="D19" s="3"/>
      <c r="E19" s="3"/>
      <c r="F19" s="3"/>
      <c r="G19" s="3"/>
    </row>
    <row r="20" spans="4:7" x14ac:dyDescent="0.25">
      <c r="D20" s="3"/>
      <c r="E20" s="3"/>
      <c r="F20" s="3"/>
      <c r="G20" s="3"/>
    </row>
    <row r="21" spans="4:7" x14ac:dyDescent="0.25">
      <c r="D21" s="3"/>
      <c r="E21" s="3"/>
      <c r="F21" s="3"/>
      <c r="G21" s="3"/>
    </row>
    <row r="22" spans="4:7" x14ac:dyDescent="0.25">
      <c r="D22" s="3"/>
      <c r="E22" s="3"/>
      <c r="F22" s="3"/>
      <c r="G22" s="3"/>
    </row>
    <row r="23" spans="4:7" x14ac:dyDescent="0.25">
      <c r="D23" s="3"/>
      <c r="E23" s="3"/>
      <c r="F23" s="3"/>
      <c r="G23" s="3"/>
    </row>
    <row r="24" spans="4:7" x14ac:dyDescent="0.25">
      <c r="D24" s="1"/>
      <c r="E24" s="1"/>
      <c r="F24" s="1"/>
      <c r="G24" s="1"/>
    </row>
    <row r="27" spans="4:7" x14ac:dyDescent="0.25">
      <c r="D27" s="1"/>
      <c r="E27" s="1"/>
      <c r="F27" s="1"/>
      <c r="G27" s="1"/>
    </row>
    <row r="28" spans="4:7" x14ac:dyDescent="0.25">
      <c r="D28" s="3"/>
      <c r="E28" s="3"/>
      <c r="F28" s="3"/>
      <c r="G28" s="3"/>
    </row>
    <row r="29" spans="4:7" x14ac:dyDescent="0.25">
      <c r="D29" s="3"/>
      <c r="E29" s="3"/>
      <c r="F29" s="3"/>
      <c r="G29" s="3"/>
    </row>
    <row r="30" spans="4:7" x14ac:dyDescent="0.25">
      <c r="D30" s="3"/>
      <c r="E30" s="3"/>
      <c r="F30" s="3"/>
      <c r="G30" s="3"/>
    </row>
    <row r="31" spans="4:7" x14ac:dyDescent="0.25">
      <c r="D31" s="3"/>
      <c r="E31" s="3"/>
      <c r="F31" s="3"/>
      <c r="G31" s="3"/>
    </row>
    <row r="32" spans="4:7" x14ac:dyDescent="0.25">
      <c r="D32" s="3"/>
      <c r="E32" s="3"/>
      <c r="F32" s="3"/>
      <c r="G32" s="3"/>
    </row>
    <row r="33" spans="4:7" x14ac:dyDescent="0.25">
      <c r="D33" s="3"/>
      <c r="E33" s="3"/>
      <c r="F33" s="3"/>
      <c r="G33" s="3"/>
    </row>
    <row r="35" spans="4:7" x14ac:dyDescent="0.25">
      <c r="D35" s="1"/>
      <c r="E35" s="1"/>
      <c r="F35" s="1"/>
      <c r="G35" s="1"/>
    </row>
    <row r="36" spans="4:7" x14ac:dyDescent="0.25">
      <c r="D36" s="3"/>
      <c r="E36" s="3"/>
      <c r="F36" s="3"/>
      <c r="G36" s="3"/>
    </row>
    <row r="37" spans="4:7" x14ac:dyDescent="0.25">
      <c r="D37" s="3"/>
      <c r="E37" s="3"/>
      <c r="F37" s="3"/>
      <c r="G37" s="3"/>
    </row>
    <row r="38" spans="4:7" x14ac:dyDescent="0.25">
      <c r="D38" s="3"/>
      <c r="E38" s="3"/>
      <c r="F38" s="3"/>
      <c r="G38" s="3"/>
    </row>
    <row r="39" spans="4:7" x14ac:dyDescent="0.25">
      <c r="D39" s="3"/>
      <c r="E39" s="3"/>
      <c r="F39" s="3"/>
      <c r="G39" s="3"/>
    </row>
    <row r="40" spans="4:7" x14ac:dyDescent="0.25">
      <c r="D40" s="3"/>
      <c r="E40" s="3"/>
      <c r="F40" s="3"/>
      <c r="G40" s="3"/>
    </row>
    <row r="41" spans="4:7" x14ac:dyDescent="0.25">
      <c r="D41" s="3"/>
      <c r="E41" s="3"/>
      <c r="F41" s="3"/>
      <c r="G41" s="3"/>
    </row>
    <row r="42" spans="4:7" x14ac:dyDescent="0.25">
      <c r="D42" s="3"/>
      <c r="E42" s="3"/>
      <c r="F42" s="3"/>
      <c r="G42" s="3"/>
    </row>
    <row r="43" spans="4:7" x14ac:dyDescent="0.25">
      <c r="D43" s="3"/>
      <c r="E43" s="3"/>
      <c r="F43" s="3"/>
      <c r="G43" s="3"/>
    </row>
    <row r="44" spans="4:7" x14ac:dyDescent="0.25">
      <c r="D44" s="3"/>
      <c r="E44" s="3"/>
      <c r="F44" s="3"/>
      <c r="G44" s="3"/>
    </row>
    <row r="45" spans="4:7" x14ac:dyDescent="0.25">
      <c r="D45" s="3"/>
      <c r="E45" s="3"/>
      <c r="F45" s="3"/>
      <c r="G45" s="3"/>
    </row>
    <row r="46" spans="4:7" x14ac:dyDescent="0.25">
      <c r="D46" s="3"/>
      <c r="E46" s="3"/>
      <c r="F46" s="3"/>
      <c r="G46" s="3"/>
    </row>
    <row r="47" spans="4:7" x14ac:dyDescent="0.25">
      <c r="D47" s="3"/>
      <c r="E47" s="3"/>
      <c r="F47" s="3"/>
      <c r="G47" s="3"/>
    </row>
    <row r="48" spans="4:7" x14ac:dyDescent="0.25">
      <c r="D48" s="3"/>
      <c r="E48" s="3"/>
      <c r="F48" s="3"/>
      <c r="G48" s="3"/>
    </row>
    <row r="49" spans="4:7" x14ac:dyDescent="0.25">
      <c r="D49" s="3"/>
      <c r="E49" s="3"/>
      <c r="F49" s="3"/>
      <c r="G49" s="3"/>
    </row>
    <row r="50" spans="4:7" x14ac:dyDescent="0.25">
      <c r="D50" s="3"/>
      <c r="E50" s="3"/>
      <c r="F50" s="3"/>
      <c r="G50" s="3"/>
    </row>
    <row r="51" spans="4:7" x14ac:dyDescent="0.25">
      <c r="D51" s="3"/>
      <c r="E51" s="3"/>
      <c r="F51" s="3"/>
      <c r="G51" s="3"/>
    </row>
    <row r="53" spans="4:7" x14ac:dyDescent="0.25">
      <c r="D53" s="1"/>
      <c r="E53" s="1"/>
      <c r="F53" s="1"/>
      <c r="G53" s="1"/>
    </row>
    <row r="54" spans="4:7" x14ac:dyDescent="0.25">
      <c r="D54" s="3"/>
      <c r="E54" s="3"/>
      <c r="F54" s="3"/>
      <c r="G54" s="3"/>
    </row>
    <row r="55" spans="4:7" x14ac:dyDescent="0.25">
      <c r="D55" s="3"/>
      <c r="E55" s="3"/>
      <c r="F55" s="3"/>
      <c r="G55" s="3"/>
    </row>
    <row r="56" spans="4:7" x14ac:dyDescent="0.25">
      <c r="D56" s="3"/>
      <c r="E56" s="3"/>
      <c r="F56" s="3"/>
      <c r="G56" s="3"/>
    </row>
    <row r="57" spans="4:7" x14ac:dyDescent="0.25">
      <c r="D57" s="3"/>
      <c r="E57" s="3"/>
      <c r="F57" s="3"/>
      <c r="G57" s="3"/>
    </row>
    <row r="58" spans="4:7" x14ac:dyDescent="0.25">
      <c r="D58" s="3"/>
      <c r="E58" s="3"/>
      <c r="F58" s="3"/>
      <c r="G58" s="3"/>
    </row>
    <row r="59" spans="4:7" x14ac:dyDescent="0.25">
      <c r="D59" s="3"/>
      <c r="E59" s="3"/>
      <c r="F59" s="3"/>
      <c r="G59" s="3"/>
    </row>
    <row r="60" spans="4:7" x14ac:dyDescent="0.25">
      <c r="D60" s="3"/>
      <c r="E60" s="3"/>
      <c r="F60" s="3"/>
      <c r="G60" s="3"/>
    </row>
    <row r="61" spans="4:7" x14ac:dyDescent="0.25">
      <c r="D61" s="3"/>
      <c r="E61" s="3"/>
      <c r="F61" s="3"/>
      <c r="G61" s="3"/>
    </row>
    <row r="62" spans="4:7" x14ac:dyDescent="0.25">
      <c r="D62" s="3"/>
      <c r="E62" s="3"/>
      <c r="F62" s="3"/>
      <c r="G62" s="3"/>
    </row>
    <row r="63" spans="4:7" x14ac:dyDescent="0.25">
      <c r="D63" s="3"/>
      <c r="E63" s="3"/>
      <c r="F63" s="3"/>
      <c r="G63" s="3"/>
    </row>
    <row r="64" spans="4:7" x14ac:dyDescent="0.25">
      <c r="D64" s="3"/>
      <c r="E64" s="3"/>
      <c r="F64" s="3"/>
      <c r="G64" s="3"/>
    </row>
    <row r="65" spans="4:7" x14ac:dyDescent="0.25">
      <c r="D65" s="3"/>
      <c r="E65" s="3"/>
      <c r="F65" s="3"/>
      <c r="G65" s="3"/>
    </row>
    <row r="66" spans="4:7" x14ac:dyDescent="0.25">
      <c r="D66" s="3"/>
      <c r="E66" s="3"/>
      <c r="F66" s="3"/>
      <c r="G66" s="3"/>
    </row>
    <row r="67" spans="4:7" x14ac:dyDescent="0.25">
      <c r="D67" s="3"/>
      <c r="E67" s="3"/>
      <c r="F67" s="3"/>
      <c r="G67" s="3"/>
    </row>
    <row r="69" spans="4:7" x14ac:dyDescent="0.25">
      <c r="D69" s="1"/>
      <c r="E69" s="1"/>
      <c r="F69" s="1"/>
      <c r="G69" s="1"/>
    </row>
    <row r="70" spans="4:7" x14ac:dyDescent="0.25">
      <c r="D70" s="3"/>
      <c r="E70" s="3"/>
      <c r="F70" s="3"/>
      <c r="G70" s="3"/>
    </row>
    <row r="71" spans="4:7" x14ac:dyDescent="0.25">
      <c r="D71" s="3"/>
      <c r="E71" s="3"/>
      <c r="F71" s="3"/>
      <c r="G71" s="3"/>
    </row>
    <row r="72" spans="4:7" x14ac:dyDescent="0.25">
      <c r="D72" s="3"/>
      <c r="E72" s="3"/>
      <c r="F72" s="3"/>
      <c r="G72" s="3"/>
    </row>
    <row r="73" spans="4:7" x14ac:dyDescent="0.25">
      <c r="D73" s="3"/>
      <c r="E73" s="3"/>
      <c r="F73" s="3"/>
      <c r="G73" s="3"/>
    </row>
    <row r="74" spans="4:7" x14ac:dyDescent="0.25">
      <c r="D74" s="3"/>
      <c r="E74" s="3"/>
      <c r="F74" s="3"/>
      <c r="G74" s="3"/>
    </row>
    <row r="75" spans="4:7" x14ac:dyDescent="0.25">
      <c r="D75" s="3"/>
      <c r="E75" s="3"/>
      <c r="F75" s="3"/>
      <c r="G75" s="3"/>
    </row>
    <row r="76" spans="4:7" x14ac:dyDescent="0.25">
      <c r="D76" s="3"/>
      <c r="E76" s="3"/>
      <c r="F76" s="3"/>
      <c r="G76" s="3"/>
    </row>
    <row r="77" spans="4:7" x14ac:dyDescent="0.25">
      <c r="D77" s="3"/>
      <c r="E77" s="3"/>
      <c r="F77" s="3"/>
      <c r="G77" s="3"/>
    </row>
  </sheetData>
  <sheetProtection algorithmName="SHA-512" hashValue="T5dwU6myGSX22XYoVCIlrT+YQs4Q4TsH0mQFGJmLVYmZlnHJpuNKG0R0swytrTeM6a9/4bvVtJ5BL4MukYng8w==" saltValue="xqxxW4su8nPEpP37VSZDmA=="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zoomScaleNormal="100" workbookViewId="0">
      <selection activeCell="G13" sqref="G13"/>
    </sheetView>
  </sheetViews>
  <sheetFormatPr defaultRowHeight="15" x14ac:dyDescent="0.25"/>
  <cols>
    <col min="1" max="2" width="9.140625" style="19"/>
    <col min="3" max="3" width="34.85546875" style="19" customWidth="1"/>
    <col min="4" max="4" width="15.5703125" style="19" customWidth="1"/>
    <col min="5" max="10" width="12.7109375" style="19" customWidth="1"/>
    <col min="11" max="11" width="9.140625" style="19"/>
    <col min="12" max="12" width="17.7109375" style="19" customWidth="1"/>
    <col min="13" max="13" width="18" style="19" customWidth="1"/>
    <col min="14" max="14" width="19.42578125" style="19" customWidth="1"/>
    <col min="15" max="15" width="20.5703125" style="19" customWidth="1"/>
    <col min="16" max="16" width="16.140625" style="19" customWidth="1"/>
    <col min="17" max="17" width="14.28515625" style="19" customWidth="1"/>
    <col min="18" max="16384" width="9.140625" style="19"/>
  </cols>
  <sheetData>
    <row r="1" spans="3:17" ht="15.75" thickBot="1" x14ac:dyDescent="0.3"/>
    <row r="2" spans="3:17" x14ac:dyDescent="0.25">
      <c r="C2" s="20" t="s">
        <v>128</v>
      </c>
      <c r="D2" s="21" t="s">
        <v>136</v>
      </c>
      <c r="E2" s="21"/>
      <c r="F2" s="21"/>
      <c r="G2" s="21"/>
      <c r="H2" s="21"/>
      <c r="I2" s="21"/>
      <c r="J2" s="22"/>
    </row>
    <row r="3" spans="3:17" x14ac:dyDescent="0.25">
      <c r="C3" s="23"/>
      <c r="D3" s="19" t="s">
        <v>127</v>
      </c>
      <c r="J3" s="24"/>
    </row>
    <row r="4" spans="3:17" x14ac:dyDescent="0.25">
      <c r="C4" s="23"/>
      <c r="D4" s="19" t="s">
        <v>214</v>
      </c>
      <c r="J4" s="24"/>
    </row>
    <row r="5" spans="3:17" x14ac:dyDescent="0.25">
      <c r="C5" s="23"/>
      <c r="D5" s="19" t="s">
        <v>126</v>
      </c>
      <c r="J5" s="24"/>
    </row>
    <row r="6" spans="3:17" x14ac:dyDescent="0.25">
      <c r="C6" s="23"/>
      <c r="D6" s="19" t="s">
        <v>202</v>
      </c>
      <c r="J6" s="24"/>
    </row>
    <row r="7" spans="3:17" ht="15.75" thickBot="1" x14ac:dyDescent="0.3">
      <c r="C7" s="46"/>
      <c r="D7" s="47"/>
      <c r="E7" s="47"/>
      <c r="F7" s="47"/>
      <c r="G7" s="47"/>
      <c r="H7" s="47"/>
      <c r="I7" s="47"/>
      <c r="J7" s="48"/>
    </row>
    <row r="8" spans="3:17" ht="15.75" thickBot="1" x14ac:dyDescent="0.3"/>
    <row r="9" spans="3:17" ht="15.75" thickBot="1" x14ac:dyDescent="0.3">
      <c r="C9" s="58" t="s">
        <v>135</v>
      </c>
      <c r="D9" s="123" t="s">
        <v>229</v>
      </c>
      <c r="E9" s="152" t="s">
        <v>134</v>
      </c>
      <c r="F9" s="152"/>
      <c r="G9" s="152"/>
      <c r="H9" s="152"/>
      <c r="I9" s="152"/>
      <c r="J9" s="153"/>
    </row>
    <row r="10" spans="3:17" ht="15.75" thickBot="1" x14ac:dyDescent="0.3">
      <c r="E10" s="59">
        <v>1</v>
      </c>
      <c r="F10" s="60">
        <v>2</v>
      </c>
      <c r="G10" s="60">
        <v>3</v>
      </c>
      <c r="H10" s="60">
        <v>4</v>
      </c>
      <c r="I10" s="61">
        <v>5</v>
      </c>
      <c r="J10" s="61">
        <v>6</v>
      </c>
    </row>
    <row r="11" spans="3:17" ht="15.75" thickBot="1" x14ac:dyDescent="0.3">
      <c r="E11" s="62" t="s">
        <v>232</v>
      </c>
      <c r="F11" s="62" t="s">
        <v>220</v>
      </c>
      <c r="G11" s="62" t="s">
        <v>231</v>
      </c>
      <c r="H11" s="62"/>
      <c r="I11" s="62"/>
      <c r="J11" s="62"/>
      <c r="L11" s="148" t="s">
        <v>192</v>
      </c>
      <c r="M11" s="149"/>
      <c r="N11" s="149"/>
      <c r="O11" s="149"/>
      <c r="P11" s="149"/>
      <c r="Q11" s="150"/>
    </row>
    <row r="12" spans="3:17" ht="15.75" thickBot="1" x14ac:dyDescent="0.3">
      <c r="C12" s="112" t="s">
        <v>78</v>
      </c>
      <c r="D12" s="113" t="s">
        <v>121</v>
      </c>
      <c r="E12" s="114" t="s">
        <v>10</v>
      </c>
      <c r="F12" s="32" t="s">
        <v>10</v>
      </c>
      <c r="G12" s="32" t="s">
        <v>10</v>
      </c>
      <c r="H12" s="32" t="s">
        <v>10</v>
      </c>
      <c r="I12" s="32" t="s">
        <v>10</v>
      </c>
      <c r="J12" s="32" t="s">
        <v>10</v>
      </c>
      <c r="L12" s="33">
        <v>1</v>
      </c>
      <c r="M12" s="34">
        <v>2</v>
      </c>
      <c r="N12" s="34">
        <v>3</v>
      </c>
      <c r="O12" s="34">
        <v>4</v>
      </c>
      <c r="P12" s="34">
        <v>5</v>
      </c>
      <c r="Q12" s="35">
        <v>6</v>
      </c>
    </row>
    <row r="13" spans="3:17" x14ac:dyDescent="0.25">
      <c r="C13" s="115" t="s">
        <v>75</v>
      </c>
      <c r="D13" s="38">
        <v>45658</v>
      </c>
      <c r="E13" s="121">
        <v>3</v>
      </c>
      <c r="F13" s="121">
        <v>2</v>
      </c>
      <c r="G13" s="121"/>
      <c r="H13" s="121"/>
      <c r="I13" s="121"/>
      <c r="J13" s="122"/>
      <c r="L13" s="117"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
      </c>
      <c r="P13" s="8" t="str">
        <f t="shared" ref="P13:P21" si="4">IF(OR(LEN(TRIM(I13))&gt;0, LEN(TRIM(I36))&gt;0, LEN(TRIM(I59))&gt;0, LEN(TRIM(I82))&gt;0), "✓", "")</f>
        <v/>
      </c>
      <c r="Q13" s="118" t="str">
        <f>IF(OR(LEN(TRIM(J13))&gt;0, LEN(TRIM(J36))&gt;0, LEN(TRIM(J59))&gt;0, LEN(TRIM(J82))&gt;0), "✓", "")</f>
        <v/>
      </c>
    </row>
    <row r="14" spans="3:17" x14ac:dyDescent="0.25">
      <c r="C14" s="63" t="s">
        <v>76</v>
      </c>
      <c r="D14" s="38">
        <v>45748</v>
      </c>
      <c r="E14" s="39">
        <v>3</v>
      </c>
      <c r="F14" s="39">
        <v>4</v>
      </c>
      <c r="G14" s="39"/>
      <c r="H14" s="39"/>
      <c r="I14" s="39"/>
      <c r="J14" s="119"/>
      <c r="L14" s="117" t="str">
        <f t="shared" si="0"/>
        <v>✓</v>
      </c>
      <c r="M14" s="8" t="str">
        <f t="shared" si="1"/>
        <v>✓</v>
      </c>
      <c r="N14" s="8" t="str">
        <f t="shared" si="2"/>
        <v>✓</v>
      </c>
      <c r="O14" s="8" t="str">
        <f t="shared" si="3"/>
        <v/>
      </c>
      <c r="P14" s="8" t="str">
        <f t="shared" si="4"/>
        <v/>
      </c>
      <c r="Q14" s="118" t="str">
        <f t="shared" ref="Q14:Q21" si="5">IF(OR(LEN(TRIM(J14))&gt;0, LEN(TRIM(J37))&gt;0, LEN(TRIM(J60))&gt;0, LEN(TRIM(J83))&gt;0), "✓", "")</f>
        <v/>
      </c>
    </row>
    <row r="15" spans="3:17" x14ac:dyDescent="0.25">
      <c r="C15" s="63" t="s">
        <v>77</v>
      </c>
      <c r="D15" s="38">
        <v>45839</v>
      </c>
      <c r="E15" s="39">
        <v>5</v>
      </c>
      <c r="F15" s="39">
        <v>4</v>
      </c>
      <c r="G15" s="39"/>
      <c r="H15" s="39"/>
      <c r="I15" s="39"/>
      <c r="J15" s="119"/>
      <c r="L15" s="117" t="str">
        <f t="shared" si="0"/>
        <v>✓</v>
      </c>
      <c r="M15" s="8" t="str">
        <f t="shared" si="1"/>
        <v>✓</v>
      </c>
      <c r="N15" s="8" t="str">
        <f t="shared" si="2"/>
        <v>✓</v>
      </c>
      <c r="O15" s="8" t="str">
        <f t="shared" si="3"/>
        <v/>
      </c>
      <c r="P15" s="8" t="str">
        <f t="shared" si="4"/>
        <v/>
      </c>
      <c r="Q15" s="118" t="str">
        <f t="shared" si="5"/>
        <v/>
      </c>
    </row>
    <row r="16" spans="3:17" x14ac:dyDescent="0.25">
      <c r="C16" s="63" t="s">
        <v>79</v>
      </c>
      <c r="D16" s="38">
        <v>45931</v>
      </c>
      <c r="E16" s="39">
        <v>8</v>
      </c>
      <c r="F16" s="39">
        <v>7</v>
      </c>
      <c r="G16" s="39"/>
      <c r="H16" s="39"/>
      <c r="I16" s="39"/>
      <c r="J16" s="119"/>
      <c r="L16" s="117" t="str">
        <f t="shared" si="0"/>
        <v>✓</v>
      </c>
      <c r="M16" s="8" t="str">
        <f t="shared" si="1"/>
        <v>✓</v>
      </c>
      <c r="N16" s="8" t="str">
        <f t="shared" si="2"/>
        <v>✓</v>
      </c>
      <c r="O16" s="8" t="str">
        <f t="shared" si="3"/>
        <v/>
      </c>
      <c r="P16" s="8" t="str">
        <f t="shared" si="4"/>
        <v/>
      </c>
      <c r="Q16" s="118" t="str">
        <f t="shared" si="5"/>
        <v/>
      </c>
    </row>
    <row r="17" spans="3:17" x14ac:dyDescent="0.25">
      <c r="C17" s="63" t="s">
        <v>80</v>
      </c>
      <c r="D17" s="38"/>
      <c r="E17" s="39"/>
      <c r="F17" s="39"/>
      <c r="G17" s="39"/>
      <c r="H17" s="39"/>
      <c r="I17" s="39"/>
      <c r="J17" s="119"/>
      <c r="L17" s="117" t="str">
        <f t="shared" si="0"/>
        <v/>
      </c>
      <c r="M17" s="8" t="str">
        <f t="shared" si="1"/>
        <v/>
      </c>
      <c r="N17" s="8" t="str">
        <f t="shared" si="2"/>
        <v/>
      </c>
      <c r="O17" s="8" t="str">
        <f t="shared" si="3"/>
        <v/>
      </c>
      <c r="P17" s="8" t="str">
        <f t="shared" si="4"/>
        <v/>
      </c>
      <c r="Q17" s="118" t="str">
        <f t="shared" si="5"/>
        <v/>
      </c>
    </row>
    <row r="18" spans="3:17" x14ac:dyDescent="0.25">
      <c r="C18" s="63" t="s">
        <v>81</v>
      </c>
      <c r="D18" s="38"/>
      <c r="E18" s="39"/>
      <c r="F18" s="39"/>
      <c r="G18" s="39"/>
      <c r="H18" s="39"/>
      <c r="I18" s="39"/>
      <c r="J18" s="119"/>
      <c r="L18" s="117" t="str">
        <f t="shared" si="0"/>
        <v/>
      </c>
      <c r="M18" s="8" t="str">
        <f t="shared" si="1"/>
        <v/>
      </c>
      <c r="N18" s="8" t="str">
        <f t="shared" si="2"/>
        <v/>
      </c>
      <c r="O18" s="8" t="str">
        <f t="shared" si="3"/>
        <v/>
      </c>
      <c r="P18" s="8" t="str">
        <f t="shared" si="4"/>
        <v/>
      </c>
      <c r="Q18" s="118" t="str">
        <f t="shared" si="5"/>
        <v/>
      </c>
    </row>
    <row r="19" spans="3:17" x14ac:dyDescent="0.25">
      <c r="C19" s="63" t="s">
        <v>82</v>
      </c>
      <c r="D19" s="38"/>
      <c r="E19" s="39"/>
      <c r="F19" s="39"/>
      <c r="G19" s="39"/>
      <c r="H19" s="39"/>
      <c r="I19" s="39"/>
      <c r="J19" s="119"/>
      <c r="L19" s="117" t="str">
        <f t="shared" si="0"/>
        <v/>
      </c>
      <c r="M19" s="8" t="str">
        <f t="shared" si="1"/>
        <v/>
      </c>
      <c r="N19" s="8" t="str">
        <f t="shared" si="2"/>
        <v/>
      </c>
      <c r="O19" s="8" t="str">
        <f t="shared" si="3"/>
        <v/>
      </c>
      <c r="P19" s="8" t="str">
        <f t="shared" si="4"/>
        <v/>
      </c>
      <c r="Q19" s="118" t="str">
        <f t="shared" si="5"/>
        <v/>
      </c>
    </row>
    <row r="20" spans="3:17" x14ac:dyDescent="0.25">
      <c r="C20" s="63" t="s">
        <v>83</v>
      </c>
      <c r="D20" s="38"/>
      <c r="E20" s="39"/>
      <c r="F20" s="39"/>
      <c r="G20" s="39"/>
      <c r="H20" s="39"/>
      <c r="I20" s="39"/>
      <c r="J20" s="119"/>
      <c r="L20" s="117" t="str">
        <f t="shared" si="0"/>
        <v/>
      </c>
      <c r="M20" s="8" t="str">
        <f t="shared" si="1"/>
        <v/>
      </c>
      <c r="N20" s="8" t="str">
        <f t="shared" si="2"/>
        <v/>
      </c>
      <c r="O20" s="8" t="str">
        <f t="shared" si="3"/>
        <v/>
      </c>
      <c r="P20" s="8" t="str">
        <f t="shared" si="4"/>
        <v/>
      </c>
      <c r="Q20" s="118" t="str">
        <f t="shared" si="5"/>
        <v/>
      </c>
    </row>
    <row r="21" spans="3:17" x14ac:dyDescent="0.25">
      <c r="C21" s="63" t="s">
        <v>84</v>
      </c>
      <c r="D21" s="38"/>
      <c r="E21" s="39"/>
      <c r="F21" s="39"/>
      <c r="G21" s="39"/>
      <c r="H21" s="39"/>
      <c r="I21" s="39"/>
      <c r="J21" s="119"/>
      <c r="L21" s="117" t="str">
        <f t="shared" si="0"/>
        <v/>
      </c>
      <c r="M21" s="8" t="str">
        <f t="shared" si="1"/>
        <v/>
      </c>
      <c r="N21" s="8" t="str">
        <f t="shared" si="2"/>
        <v/>
      </c>
      <c r="O21" s="8" t="str">
        <f t="shared" si="3"/>
        <v/>
      </c>
      <c r="P21" s="8" t="str">
        <f t="shared" si="4"/>
        <v/>
      </c>
      <c r="Q21" s="118" t="str">
        <f t="shared" si="5"/>
        <v/>
      </c>
    </row>
    <row r="22" spans="3:17" x14ac:dyDescent="0.25">
      <c r="C22" s="63" t="s">
        <v>178</v>
      </c>
      <c r="D22" s="38"/>
      <c r="E22" s="39"/>
      <c r="F22" s="39"/>
      <c r="G22" s="39"/>
      <c r="H22" s="39"/>
      <c r="I22" s="39"/>
      <c r="J22" s="119"/>
      <c r="L22" s="117"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8" t="str">
        <f t="shared" ref="Q22:Q30" si="10">IF(OR(LEN(TRIM(J22))&gt;0, LEN(TRIM(J45))&gt;0, LEN(TRIM(J68))&gt;0, LEN(TRIM(J91))&gt;0), "✓", "")</f>
        <v/>
      </c>
    </row>
    <row r="23" spans="3:17" x14ac:dyDescent="0.25">
      <c r="C23" s="63" t="s">
        <v>179</v>
      </c>
      <c r="D23" s="38"/>
      <c r="E23" s="39"/>
      <c r="F23" s="39"/>
      <c r="G23" s="39"/>
      <c r="H23" s="39"/>
      <c r="I23" s="39"/>
      <c r="J23" s="119"/>
      <c r="L23" s="117" t="str">
        <f t="shared" si="0"/>
        <v/>
      </c>
      <c r="M23" s="8" t="str">
        <f t="shared" si="6"/>
        <v/>
      </c>
      <c r="N23" s="8" t="str">
        <f t="shared" si="7"/>
        <v/>
      </c>
      <c r="O23" s="8" t="str">
        <f t="shared" si="8"/>
        <v/>
      </c>
      <c r="P23" s="8" t="str">
        <f t="shared" si="9"/>
        <v/>
      </c>
      <c r="Q23" s="118" t="str">
        <f t="shared" si="10"/>
        <v/>
      </c>
    </row>
    <row r="24" spans="3:17" x14ac:dyDescent="0.25">
      <c r="C24" s="63" t="s">
        <v>180</v>
      </c>
      <c r="D24" s="38"/>
      <c r="E24" s="39"/>
      <c r="F24" s="39"/>
      <c r="G24" s="39"/>
      <c r="H24" s="39"/>
      <c r="I24" s="39"/>
      <c r="J24" s="119"/>
      <c r="L24" s="117" t="str">
        <f t="shared" si="0"/>
        <v/>
      </c>
      <c r="M24" s="8" t="str">
        <f t="shared" si="6"/>
        <v/>
      </c>
      <c r="N24" s="8" t="str">
        <f t="shared" si="7"/>
        <v/>
      </c>
      <c r="O24" s="8" t="str">
        <f t="shared" si="8"/>
        <v/>
      </c>
      <c r="P24" s="8" t="str">
        <f t="shared" si="9"/>
        <v/>
      </c>
      <c r="Q24" s="118" t="str">
        <f t="shared" si="10"/>
        <v/>
      </c>
    </row>
    <row r="25" spans="3:17" x14ac:dyDescent="0.25">
      <c r="C25" s="63" t="s">
        <v>181</v>
      </c>
      <c r="D25" s="38"/>
      <c r="E25" s="39"/>
      <c r="F25" s="39"/>
      <c r="G25" s="39"/>
      <c r="H25" s="39"/>
      <c r="I25" s="39"/>
      <c r="J25" s="119"/>
      <c r="L25" s="117" t="str">
        <f t="shared" si="0"/>
        <v/>
      </c>
      <c r="M25" s="8" t="str">
        <f t="shared" si="6"/>
        <v/>
      </c>
      <c r="N25" s="8" t="str">
        <f t="shared" si="7"/>
        <v/>
      </c>
      <c r="O25" s="8" t="str">
        <f t="shared" si="8"/>
        <v/>
      </c>
      <c r="P25" s="8" t="str">
        <f t="shared" si="9"/>
        <v/>
      </c>
      <c r="Q25" s="118" t="str">
        <f t="shared" si="10"/>
        <v/>
      </c>
    </row>
    <row r="26" spans="3:17" x14ac:dyDescent="0.25">
      <c r="C26" s="63" t="s">
        <v>182</v>
      </c>
      <c r="D26" s="38"/>
      <c r="E26" s="39"/>
      <c r="F26" s="39"/>
      <c r="G26" s="39"/>
      <c r="H26" s="39"/>
      <c r="I26" s="39"/>
      <c r="J26" s="119"/>
      <c r="L26" s="117" t="str">
        <f t="shared" si="0"/>
        <v/>
      </c>
      <c r="M26" s="8" t="str">
        <f t="shared" si="6"/>
        <v/>
      </c>
      <c r="N26" s="8" t="str">
        <f t="shared" si="7"/>
        <v/>
      </c>
      <c r="O26" s="8" t="str">
        <f t="shared" si="8"/>
        <v/>
      </c>
      <c r="P26" s="8" t="str">
        <f t="shared" si="9"/>
        <v/>
      </c>
      <c r="Q26" s="118" t="str">
        <f t="shared" si="10"/>
        <v/>
      </c>
    </row>
    <row r="27" spans="3:17" x14ac:dyDescent="0.25">
      <c r="C27" s="63" t="s">
        <v>183</v>
      </c>
      <c r="D27" s="38"/>
      <c r="E27" s="39"/>
      <c r="F27" s="39"/>
      <c r="G27" s="39"/>
      <c r="H27" s="39"/>
      <c r="I27" s="39"/>
      <c r="J27" s="119"/>
      <c r="L27" s="117" t="str">
        <f t="shared" si="0"/>
        <v/>
      </c>
      <c r="M27" s="8" t="str">
        <f t="shared" si="6"/>
        <v/>
      </c>
      <c r="N27" s="8" t="str">
        <f t="shared" si="7"/>
        <v/>
      </c>
      <c r="O27" s="8" t="str">
        <f t="shared" si="8"/>
        <v/>
      </c>
      <c r="P27" s="8" t="str">
        <f t="shared" si="9"/>
        <v/>
      </c>
      <c r="Q27" s="118" t="str">
        <f t="shared" si="10"/>
        <v/>
      </c>
    </row>
    <row r="28" spans="3:17" x14ac:dyDescent="0.25">
      <c r="C28" s="63" t="s">
        <v>184</v>
      </c>
      <c r="D28" s="38"/>
      <c r="E28" s="39"/>
      <c r="F28" s="39"/>
      <c r="G28" s="39"/>
      <c r="H28" s="39"/>
      <c r="I28" s="39"/>
      <c r="J28" s="119"/>
      <c r="L28" s="117" t="str">
        <f t="shared" si="0"/>
        <v/>
      </c>
      <c r="M28" s="8" t="str">
        <f t="shared" si="6"/>
        <v/>
      </c>
      <c r="N28" s="8" t="str">
        <f t="shared" si="7"/>
        <v/>
      </c>
      <c r="O28" s="8" t="str">
        <f t="shared" si="8"/>
        <v/>
      </c>
      <c r="P28" s="8" t="str">
        <f t="shared" si="9"/>
        <v/>
      </c>
      <c r="Q28" s="118" t="str">
        <f t="shared" si="10"/>
        <v/>
      </c>
    </row>
    <row r="29" spans="3:17" x14ac:dyDescent="0.25">
      <c r="C29" s="63" t="s">
        <v>185</v>
      </c>
      <c r="D29" s="38"/>
      <c r="E29" s="39"/>
      <c r="F29" s="39"/>
      <c r="G29" s="39"/>
      <c r="H29" s="39"/>
      <c r="I29" s="39"/>
      <c r="J29" s="119"/>
      <c r="L29" s="117" t="str">
        <f t="shared" si="0"/>
        <v/>
      </c>
      <c r="M29" s="8" t="str">
        <f t="shared" si="6"/>
        <v/>
      </c>
      <c r="N29" s="8" t="str">
        <f t="shared" si="7"/>
        <v/>
      </c>
      <c r="O29" s="8" t="str">
        <f t="shared" si="8"/>
        <v/>
      </c>
      <c r="P29" s="8" t="str">
        <f t="shared" si="9"/>
        <v/>
      </c>
      <c r="Q29" s="118" t="str">
        <f t="shared" si="10"/>
        <v/>
      </c>
    </row>
    <row r="30" spans="3:17" ht="15.75" thickBot="1" x14ac:dyDescent="0.3">
      <c r="C30" s="64" t="s">
        <v>186</v>
      </c>
      <c r="D30" s="43"/>
      <c r="E30" s="44"/>
      <c r="F30" s="44"/>
      <c r="G30" s="44"/>
      <c r="H30" s="44"/>
      <c r="I30" s="44"/>
      <c r="J30" s="120"/>
      <c r="L30" s="117" t="str">
        <f>IF(OR(LEN(TRIM(E30))&gt;0, LEN(TRIM(E53))&gt;0, LEN(TRIM(E76))&gt;0, LEN(TRIM(E99))&gt;0), "✓", "")</f>
        <v/>
      </c>
      <c r="M30" s="8" t="str">
        <f t="shared" si="6"/>
        <v/>
      </c>
      <c r="N30" s="8" t="str">
        <f t="shared" si="7"/>
        <v/>
      </c>
      <c r="O30" s="8" t="str">
        <f t="shared" si="8"/>
        <v/>
      </c>
      <c r="P30" s="8" t="str">
        <f t="shared" si="9"/>
        <v/>
      </c>
      <c r="Q30" s="118" t="str">
        <f t="shared" si="10"/>
        <v/>
      </c>
    </row>
    <row r="31" spans="3:17" ht="15.75" thickBot="1" x14ac:dyDescent="0.3"/>
    <row r="32" spans="3:17" ht="15.75" thickBot="1" x14ac:dyDescent="0.3">
      <c r="C32" s="58" t="s">
        <v>135</v>
      </c>
      <c r="D32" s="123"/>
      <c r="E32" s="151" t="s">
        <v>137</v>
      </c>
      <c r="F32" s="152"/>
      <c r="G32" s="152"/>
      <c r="H32" s="152"/>
      <c r="I32" s="152"/>
      <c r="J32" s="153"/>
      <c r="L32"/>
      <c r="M32"/>
      <c r="N32"/>
      <c r="O32"/>
      <c r="P32"/>
      <c r="Q32"/>
    </row>
    <row r="33" spans="2:17" ht="15.75" thickBot="1" x14ac:dyDescent="0.3">
      <c r="E33" s="59">
        <v>1</v>
      </c>
      <c r="F33" s="60">
        <v>2</v>
      </c>
      <c r="G33" s="60">
        <v>3</v>
      </c>
      <c r="H33" s="60">
        <v>4</v>
      </c>
      <c r="I33" s="61">
        <v>5</v>
      </c>
      <c r="J33" s="61">
        <v>6</v>
      </c>
      <c r="L33" s="84" t="str">
        <f t="shared" ref="L33:Q33" si="11">IF(COUNTIF(L13:L21,"✓")=0, "",
   IF(OR(
     AND(L13="✓", L14="✓", L15="✓"),
     AND(L14="✓", L15="✓", L16="✓"),
     AND(L15="✓", L16="✓", L17="✓"),
     AND(L16="✓", L17="✓", L18="✓"),
     AND(L17="✓", L18="✓", L19="✓"),
     AND(L18="✓", L19="✓", L20="✓"),
     AND(L19="✓", L20="✓", L21="✓")
   ), "Complete", "Incomplete"))</f>
        <v>Complete</v>
      </c>
      <c r="M33" s="84" t="str">
        <f t="shared" si="11"/>
        <v>Complete</v>
      </c>
      <c r="N33" s="84" t="str">
        <f t="shared" si="11"/>
        <v>Complete</v>
      </c>
      <c r="O33" s="84" t="str">
        <f t="shared" si="11"/>
        <v/>
      </c>
      <c r="P33" s="84" t="str">
        <f t="shared" si="11"/>
        <v/>
      </c>
      <c r="Q33" s="84" t="str">
        <f t="shared" si="11"/>
        <v/>
      </c>
    </row>
    <row r="34" spans="2:17" ht="15.75" thickBot="1" x14ac:dyDescent="0.3">
      <c r="E34" s="116" t="s">
        <v>3</v>
      </c>
      <c r="F34" s="116" t="s">
        <v>220</v>
      </c>
      <c r="G34" s="116" t="s">
        <v>221</v>
      </c>
      <c r="H34" s="116"/>
      <c r="I34" s="116"/>
      <c r="J34" s="116"/>
    </row>
    <row r="35" spans="2:17" ht="15.75" thickBot="1" x14ac:dyDescent="0.3">
      <c r="B35" s="25"/>
      <c r="C35" s="100" t="s">
        <v>78</v>
      </c>
      <c r="D35" s="110" t="s">
        <v>121</v>
      </c>
      <c r="E35" s="114" t="s">
        <v>10</v>
      </c>
      <c r="F35" s="32" t="s">
        <v>10</v>
      </c>
      <c r="G35" s="32" t="s">
        <v>10</v>
      </c>
      <c r="H35" s="32" t="s">
        <v>10</v>
      </c>
      <c r="I35" s="32" t="s">
        <v>10</v>
      </c>
      <c r="J35" s="32" t="s">
        <v>10</v>
      </c>
      <c r="L35" s="154" t="s">
        <v>193</v>
      </c>
      <c r="M35" s="155"/>
      <c r="N35" s="155"/>
      <c r="O35" s="156"/>
      <c r="P35" s="25"/>
      <c r="Q35" s="137" t="s">
        <v>196</v>
      </c>
    </row>
    <row r="36" spans="2:17" ht="15.75" thickBot="1" x14ac:dyDescent="0.3">
      <c r="C36" s="63" t="s">
        <v>75</v>
      </c>
      <c r="D36" s="38"/>
      <c r="E36" s="39"/>
      <c r="F36" s="39"/>
      <c r="G36" s="39"/>
      <c r="H36" s="39"/>
      <c r="I36" s="39"/>
      <c r="J36" s="119"/>
      <c r="L36" s="128" t="s">
        <v>194</v>
      </c>
      <c r="M36" s="129" t="s">
        <v>195</v>
      </c>
      <c r="N36" s="129" t="s">
        <v>163</v>
      </c>
      <c r="O36" s="130" t="s">
        <v>164</v>
      </c>
      <c r="Q36" s="138" t="str">
        <f>IF(COUNTIF(L37:O53, "✓")+COUNTIF(L37:O53, "⚠️ Not in Order")=0, "", IF(COUNTIF(L37:O53, "⚠️ Not in Order")&gt;0, "⚠️ Not in Order", "✓ All in Order"))</f>
        <v>✓ All in Order</v>
      </c>
    </row>
    <row r="37" spans="2:17" x14ac:dyDescent="0.25">
      <c r="C37" s="63" t="s">
        <v>76</v>
      </c>
      <c r="D37" s="38"/>
      <c r="E37" s="39"/>
      <c r="F37" s="39"/>
      <c r="G37" s="39"/>
      <c r="H37" s="39"/>
      <c r="I37" s="39"/>
      <c r="J37" s="119"/>
      <c r="L37" s="131" t="str">
        <f>IF(OR(D14="", D13=""), "", IF(D14&gt;=D13, "✓", "⚠️ Not in Order"))</f>
        <v>✓</v>
      </c>
      <c r="M37" s="132" t="str">
        <f>IF(OR(D37="", D36=""), "", IF(D37&gt;=D36, "✓", "⚠️ Not in Order"))</f>
        <v/>
      </c>
      <c r="N37" s="132" t="str">
        <f>IF(OR(D60="", D59=""), "", IF(D60&gt;=D59, "✓", "⚠️ Not in Order"))</f>
        <v>✓</v>
      </c>
      <c r="O37" s="133" t="str">
        <f>IF(OR(D83="", D82=""), "", IF(D83&gt;=D82, "✓", "⚠️ Not in Order"))</f>
        <v/>
      </c>
    </row>
    <row r="38" spans="2:17" x14ac:dyDescent="0.25">
      <c r="C38" s="63" t="s">
        <v>77</v>
      </c>
      <c r="D38" s="38"/>
      <c r="E38" s="39"/>
      <c r="F38" s="39"/>
      <c r="G38" s="39"/>
      <c r="H38" s="39"/>
      <c r="I38" s="39"/>
      <c r="J38" s="119"/>
      <c r="L38" s="117" t="str">
        <f t="shared" ref="L38:L53" si="12">IF(OR(D15="", D14=""), "", IF(D15&gt;=D14, "✓", "⚠️ Not in Order"))</f>
        <v>✓</v>
      </c>
      <c r="M38" s="8" t="str">
        <f t="shared" ref="M38:M53" si="13">IF(OR(D38="", D37=""), "", IF(D38&gt;=D37, "✓", "⚠️ Not in Order"))</f>
        <v/>
      </c>
      <c r="N38" s="8" t="str">
        <f t="shared" ref="N38:N53" si="14">IF(OR(D61="", D60=""), "", IF(D61&gt;=D60, "✓", "⚠️ Not in Order"))</f>
        <v>✓</v>
      </c>
      <c r="O38" s="118" t="str">
        <f t="shared" ref="O38:O53" si="15">IF(OR(D84="", D83=""), "", IF(D84&gt;=D83, "✓", "⚠️ Not in Order"))</f>
        <v/>
      </c>
    </row>
    <row r="39" spans="2:17" x14ac:dyDescent="0.25">
      <c r="C39" s="63" t="s">
        <v>79</v>
      </c>
      <c r="D39" s="38"/>
      <c r="E39" s="39"/>
      <c r="F39" s="39"/>
      <c r="G39" s="39"/>
      <c r="H39" s="39"/>
      <c r="I39" s="39"/>
      <c r="J39" s="119"/>
      <c r="L39" s="117" t="str">
        <f t="shared" si="12"/>
        <v>✓</v>
      </c>
      <c r="M39" s="8" t="str">
        <f t="shared" si="13"/>
        <v/>
      </c>
      <c r="N39" s="8" t="str">
        <f t="shared" si="14"/>
        <v>✓</v>
      </c>
      <c r="O39" s="118" t="str">
        <f t="shared" si="15"/>
        <v/>
      </c>
    </row>
    <row r="40" spans="2:17" x14ac:dyDescent="0.25">
      <c r="C40" s="63" t="s">
        <v>80</v>
      </c>
      <c r="D40" s="38"/>
      <c r="E40" s="39"/>
      <c r="F40" s="39"/>
      <c r="G40" s="39"/>
      <c r="H40" s="39"/>
      <c r="I40" s="39"/>
      <c r="J40" s="119"/>
      <c r="L40" s="117" t="str">
        <f t="shared" si="12"/>
        <v/>
      </c>
      <c r="M40" s="8" t="str">
        <f t="shared" si="13"/>
        <v/>
      </c>
      <c r="N40" s="8" t="str">
        <f t="shared" si="14"/>
        <v/>
      </c>
      <c r="O40" s="118" t="str">
        <f t="shared" si="15"/>
        <v/>
      </c>
    </row>
    <row r="41" spans="2:17" x14ac:dyDescent="0.25">
      <c r="C41" s="63" t="s">
        <v>81</v>
      </c>
      <c r="D41" s="38"/>
      <c r="E41" s="39"/>
      <c r="F41" s="39"/>
      <c r="G41" s="39"/>
      <c r="H41" s="39"/>
      <c r="I41" s="39"/>
      <c r="J41" s="119"/>
      <c r="L41" s="117" t="str">
        <f t="shared" si="12"/>
        <v/>
      </c>
      <c r="M41" s="8" t="str">
        <f t="shared" si="13"/>
        <v/>
      </c>
      <c r="N41" s="8" t="str">
        <f t="shared" si="14"/>
        <v/>
      </c>
      <c r="O41" s="118" t="str">
        <f t="shared" si="15"/>
        <v/>
      </c>
    </row>
    <row r="42" spans="2:17" x14ac:dyDescent="0.25">
      <c r="C42" s="63" t="s">
        <v>82</v>
      </c>
      <c r="D42" s="38"/>
      <c r="E42" s="39"/>
      <c r="F42" s="39"/>
      <c r="G42" s="39"/>
      <c r="H42" s="39"/>
      <c r="I42" s="39"/>
      <c r="J42" s="119"/>
      <c r="L42" s="117" t="str">
        <f t="shared" si="12"/>
        <v/>
      </c>
      <c r="M42" s="8" t="str">
        <f t="shared" si="13"/>
        <v/>
      </c>
      <c r="N42" s="8" t="str">
        <f t="shared" si="14"/>
        <v/>
      </c>
      <c r="O42" s="118" t="str">
        <f t="shared" si="15"/>
        <v/>
      </c>
    </row>
    <row r="43" spans="2:17" x14ac:dyDescent="0.25">
      <c r="C43" s="63" t="s">
        <v>83</v>
      </c>
      <c r="D43" s="38"/>
      <c r="E43" s="39"/>
      <c r="F43" s="39"/>
      <c r="G43" s="39"/>
      <c r="H43" s="39"/>
      <c r="I43" s="39"/>
      <c r="J43" s="119"/>
      <c r="L43" s="117" t="str">
        <f t="shared" si="12"/>
        <v/>
      </c>
      <c r="M43" s="8" t="str">
        <f t="shared" si="13"/>
        <v/>
      </c>
      <c r="N43" s="8" t="str">
        <f t="shared" si="14"/>
        <v/>
      </c>
      <c r="O43" s="118" t="str">
        <f t="shared" si="15"/>
        <v/>
      </c>
    </row>
    <row r="44" spans="2:17" x14ac:dyDescent="0.25">
      <c r="C44" s="63" t="s">
        <v>84</v>
      </c>
      <c r="D44" s="38"/>
      <c r="E44" s="39"/>
      <c r="F44" s="39"/>
      <c r="G44" s="39"/>
      <c r="H44" s="39"/>
      <c r="I44" s="39"/>
      <c r="J44" s="119"/>
      <c r="L44" s="117" t="str">
        <f t="shared" si="12"/>
        <v/>
      </c>
      <c r="M44" s="8" t="str">
        <f t="shared" si="13"/>
        <v/>
      </c>
      <c r="N44" s="8" t="str">
        <f t="shared" si="14"/>
        <v/>
      </c>
      <c r="O44" s="118" t="str">
        <f t="shared" si="15"/>
        <v/>
      </c>
    </row>
    <row r="45" spans="2:17" x14ac:dyDescent="0.25">
      <c r="C45" s="63" t="s">
        <v>178</v>
      </c>
      <c r="D45" s="38"/>
      <c r="E45" s="39"/>
      <c r="F45" s="39"/>
      <c r="G45" s="39"/>
      <c r="H45" s="39"/>
      <c r="I45" s="39"/>
      <c r="J45" s="119"/>
      <c r="L45" s="117" t="str">
        <f t="shared" si="12"/>
        <v/>
      </c>
      <c r="M45" s="8" t="str">
        <f t="shared" si="13"/>
        <v/>
      </c>
      <c r="N45" s="8" t="str">
        <f t="shared" si="14"/>
        <v/>
      </c>
      <c r="O45" s="118" t="str">
        <f t="shared" si="15"/>
        <v/>
      </c>
    </row>
    <row r="46" spans="2:17" x14ac:dyDescent="0.25">
      <c r="C46" s="63" t="s">
        <v>179</v>
      </c>
      <c r="D46" s="38"/>
      <c r="E46" s="39"/>
      <c r="F46" s="39"/>
      <c r="G46" s="39"/>
      <c r="H46" s="39"/>
      <c r="I46" s="39"/>
      <c r="J46" s="119"/>
      <c r="L46" s="117" t="str">
        <f t="shared" si="12"/>
        <v/>
      </c>
      <c r="M46" s="8" t="str">
        <f t="shared" si="13"/>
        <v/>
      </c>
      <c r="N46" s="8" t="str">
        <f t="shared" si="14"/>
        <v/>
      </c>
      <c r="O46" s="118" t="str">
        <f t="shared" si="15"/>
        <v/>
      </c>
    </row>
    <row r="47" spans="2:17" x14ac:dyDescent="0.25">
      <c r="C47" s="63" t="s">
        <v>180</v>
      </c>
      <c r="D47" s="38"/>
      <c r="E47" s="39"/>
      <c r="F47" s="39"/>
      <c r="G47" s="39"/>
      <c r="H47" s="39"/>
      <c r="I47" s="39"/>
      <c r="J47" s="119"/>
      <c r="L47" s="117" t="str">
        <f t="shared" si="12"/>
        <v/>
      </c>
      <c r="M47" s="8" t="str">
        <f t="shared" si="13"/>
        <v/>
      </c>
      <c r="N47" s="8" t="str">
        <f t="shared" si="14"/>
        <v/>
      </c>
      <c r="O47" s="118" t="str">
        <f t="shared" si="15"/>
        <v/>
      </c>
    </row>
    <row r="48" spans="2:17" x14ac:dyDescent="0.25">
      <c r="C48" s="63" t="s">
        <v>181</v>
      </c>
      <c r="D48" s="38"/>
      <c r="E48" s="39"/>
      <c r="F48" s="39"/>
      <c r="G48" s="39"/>
      <c r="H48" s="39"/>
      <c r="I48" s="39"/>
      <c r="J48" s="119"/>
      <c r="L48" s="117" t="str">
        <f t="shared" si="12"/>
        <v/>
      </c>
      <c r="M48" s="8" t="str">
        <f t="shared" si="13"/>
        <v/>
      </c>
      <c r="N48" s="8" t="str">
        <f t="shared" si="14"/>
        <v/>
      </c>
      <c r="O48" s="118" t="str">
        <f t="shared" si="15"/>
        <v/>
      </c>
    </row>
    <row r="49" spans="2:15" x14ac:dyDescent="0.25">
      <c r="C49" s="63" t="s">
        <v>182</v>
      </c>
      <c r="D49" s="38"/>
      <c r="E49" s="39"/>
      <c r="F49" s="39"/>
      <c r="G49" s="39"/>
      <c r="H49" s="39"/>
      <c r="I49" s="39"/>
      <c r="J49" s="119"/>
      <c r="L49" s="117" t="str">
        <f t="shared" si="12"/>
        <v/>
      </c>
      <c r="M49" s="8" t="str">
        <f t="shared" si="13"/>
        <v/>
      </c>
      <c r="N49" s="8" t="str">
        <f t="shared" si="14"/>
        <v/>
      </c>
      <c r="O49" s="118" t="str">
        <f t="shared" si="15"/>
        <v/>
      </c>
    </row>
    <row r="50" spans="2:15" x14ac:dyDescent="0.25">
      <c r="C50" s="63" t="s">
        <v>183</v>
      </c>
      <c r="D50" s="38"/>
      <c r="E50" s="39"/>
      <c r="F50" s="39"/>
      <c r="G50" s="39"/>
      <c r="H50" s="39"/>
      <c r="I50" s="39"/>
      <c r="J50" s="119"/>
      <c r="L50" s="117" t="str">
        <f t="shared" si="12"/>
        <v/>
      </c>
      <c r="M50" s="8" t="str">
        <f t="shared" si="13"/>
        <v/>
      </c>
      <c r="N50" s="8" t="str">
        <f t="shared" si="14"/>
        <v/>
      </c>
      <c r="O50" s="118" t="str">
        <f t="shared" si="15"/>
        <v/>
      </c>
    </row>
    <row r="51" spans="2:15" x14ac:dyDescent="0.25">
      <c r="C51" s="63" t="s">
        <v>184</v>
      </c>
      <c r="D51" s="38"/>
      <c r="E51" s="39"/>
      <c r="F51" s="39"/>
      <c r="G51" s="39"/>
      <c r="H51" s="39"/>
      <c r="I51" s="39"/>
      <c r="J51" s="119"/>
      <c r="L51" s="117" t="str">
        <f t="shared" si="12"/>
        <v/>
      </c>
      <c r="M51" s="8" t="str">
        <f t="shared" si="13"/>
        <v/>
      </c>
      <c r="N51" s="8" t="str">
        <f t="shared" si="14"/>
        <v/>
      </c>
      <c r="O51" s="118" t="str">
        <f t="shared" si="15"/>
        <v/>
      </c>
    </row>
    <row r="52" spans="2:15" x14ac:dyDescent="0.25">
      <c r="C52" s="63" t="s">
        <v>185</v>
      </c>
      <c r="D52" s="38"/>
      <c r="E52" s="39"/>
      <c r="F52" s="39"/>
      <c r="G52" s="39"/>
      <c r="H52" s="39"/>
      <c r="I52" s="39"/>
      <c r="J52" s="119"/>
      <c r="L52" s="117" t="str">
        <f t="shared" si="12"/>
        <v/>
      </c>
      <c r="M52" s="8" t="str">
        <f t="shared" si="13"/>
        <v/>
      </c>
      <c r="N52" s="8" t="str">
        <f t="shared" si="14"/>
        <v/>
      </c>
      <c r="O52" s="118" t="str">
        <f t="shared" si="15"/>
        <v/>
      </c>
    </row>
    <row r="53" spans="2:15" ht="15.75" thickBot="1" x14ac:dyDescent="0.3">
      <c r="C53" s="64" t="s">
        <v>186</v>
      </c>
      <c r="D53" s="43"/>
      <c r="E53" s="44"/>
      <c r="F53" s="44"/>
      <c r="G53" s="44"/>
      <c r="H53" s="44"/>
      <c r="I53" s="44"/>
      <c r="J53" s="120"/>
      <c r="L53" s="134" t="str">
        <f t="shared" si="12"/>
        <v/>
      </c>
      <c r="M53" s="135" t="str">
        <f t="shared" si="13"/>
        <v/>
      </c>
      <c r="N53" s="135" t="str">
        <f t="shared" si="14"/>
        <v/>
      </c>
      <c r="O53" s="136" t="str">
        <f t="shared" si="15"/>
        <v/>
      </c>
    </row>
    <row r="54" spans="2:15" ht="15.75" thickBot="1" x14ac:dyDescent="0.3"/>
    <row r="55" spans="2:15" ht="15.75" thickBot="1" x14ac:dyDescent="0.3">
      <c r="E55" s="151" t="s">
        <v>120</v>
      </c>
      <c r="F55" s="152"/>
      <c r="G55" s="152"/>
      <c r="H55" s="152"/>
      <c r="I55" s="152"/>
      <c r="J55" s="153"/>
    </row>
    <row r="56" spans="2:15" ht="15.75" thickBot="1" x14ac:dyDescent="0.3">
      <c r="E56" s="59">
        <v>1</v>
      </c>
      <c r="F56" s="60">
        <v>2</v>
      </c>
      <c r="G56" s="60">
        <v>3</v>
      </c>
      <c r="H56" s="60">
        <v>4</v>
      </c>
      <c r="I56" s="61">
        <v>5</v>
      </c>
      <c r="J56" s="61">
        <v>6</v>
      </c>
    </row>
    <row r="57" spans="2:15" ht="15.75" thickBot="1" x14ac:dyDescent="0.3">
      <c r="E57" s="116" t="s">
        <v>3</v>
      </c>
      <c r="F57" s="116" t="s">
        <v>220</v>
      </c>
      <c r="G57" s="116" t="s">
        <v>221</v>
      </c>
      <c r="H57" s="116"/>
      <c r="I57" s="116"/>
      <c r="J57" s="116"/>
    </row>
    <row r="58" spans="2:15" x14ac:dyDescent="0.25">
      <c r="B58" s="25"/>
      <c r="C58" s="100" t="s">
        <v>78</v>
      </c>
      <c r="D58" s="110" t="s">
        <v>121</v>
      </c>
      <c r="E58" s="110" t="s">
        <v>10</v>
      </c>
      <c r="F58" s="110" t="s">
        <v>10</v>
      </c>
      <c r="G58" s="110" t="s">
        <v>10</v>
      </c>
      <c r="H58" s="110" t="s">
        <v>10</v>
      </c>
      <c r="I58" s="110" t="s">
        <v>10</v>
      </c>
      <c r="J58" s="111" t="s">
        <v>10</v>
      </c>
    </row>
    <row r="59" spans="2:15" x14ac:dyDescent="0.25">
      <c r="C59" s="63" t="s">
        <v>75</v>
      </c>
      <c r="D59" s="38">
        <v>45658</v>
      </c>
      <c r="E59" s="39">
        <v>4</v>
      </c>
      <c r="F59" s="39">
        <v>3</v>
      </c>
      <c r="G59" s="39">
        <v>6</v>
      </c>
      <c r="H59" s="39"/>
      <c r="I59" s="39"/>
      <c r="J59" s="119"/>
    </row>
    <row r="60" spans="2:15" x14ac:dyDescent="0.25">
      <c r="C60" s="63" t="s">
        <v>76</v>
      </c>
      <c r="D60" s="38">
        <v>45748</v>
      </c>
      <c r="E60" s="39">
        <v>4</v>
      </c>
      <c r="F60" s="39">
        <v>4</v>
      </c>
      <c r="G60" s="39">
        <v>6</v>
      </c>
      <c r="H60" s="39"/>
      <c r="I60" s="39"/>
      <c r="J60" s="119"/>
    </row>
    <row r="61" spans="2:15" x14ac:dyDescent="0.25">
      <c r="C61" s="63" t="s">
        <v>77</v>
      </c>
      <c r="D61" s="38">
        <v>45839</v>
      </c>
      <c r="E61" s="39">
        <v>4</v>
      </c>
      <c r="F61" s="39">
        <v>5</v>
      </c>
      <c r="G61" s="39">
        <v>7</v>
      </c>
      <c r="H61" s="39"/>
      <c r="I61" s="39"/>
      <c r="J61" s="119"/>
    </row>
    <row r="62" spans="2:15" x14ac:dyDescent="0.25">
      <c r="C62" s="63" t="s">
        <v>79</v>
      </c>
      <c r="D62" s="38">
        <v>45931</v>
      </c>
      <c r="E62" s="39">
        <v>5</v>
      </c>
      <c r="F62" s="39">
        <v>5</v>
      </c>
      <c r="G62" s="39">
        <v>8</v>
      </c>
      <c r="H62" s="39"/>
      <c r="I62" s="39"/>
      <c r="J62" s="119"/>
    </row>
    <row r="63" spans="2:15" x14ac:dyDescent="0.25">
      <c r="C63" s="63" t="s">
        <v>80</v>
      </c>
      <c r="D63" s="38"/>
      <c r="E63" s="39"/>
      <c r="F63" s="39"/>
      <c r="G63" s="39"/>
      <c r="H63" s="39"/>
      <c r="I63" s="39"/>
      <c r="J63" s="119"/>
    </row>
    <row r="64" spans="2:15" x14ac:dyDescent="0.25">
      <c r="C64" s="63" t="s">
        <v>81</v>
      </c>
      <c r="D64" s="38"/>
      <c r="E64" s="39"/>
      <c r="F64" s="39"/>
      <c r="G64" s="39"/>
      <c r="H64" s="39"/>
      <c r="I64" s="39"/>
      <c r="J64" s="119"/>
    </row>
    <row r="65" spans="3:10" x14ac:dyDescent="0.25">
      <c r="C65" s="63" t="s">
        <v>82</v>
      </c>
      <c r="D65" s="38"/>
      <c r="E65" s="39"/>
      <c r="F65" s="39"/>
      <c r="G65" s="39"/>
      <c r="H65" s="39"/>
      <c r="I65" s="39"/>
      <c r="J65" s="119"/>
    </row>
    <row r="66" spans="3:10" x14ac:dyDescent="0.25">
      <c r="C66" s="63" t="s">
        <v>83</v>
      </c>
      <c r="D66" s="38"/>
      <c r="E66" s="39"/>
      <c r="F66" s="39"/>
      <c r="G66" s="39"/>
      <c r="H66" s="39"/>
      <c r="I66" s="39"/>
      <c r="J66" s="119"/>
    </row>
    <row r="67" spans="3:10" x14ac:dyDescent="0.25">
      <c r="C67" s="63" t="s">
        <v>84</v>
      </c>
      <c r="D67" s="38"/>
      <c r="E67" s="39"/>
      <c r="F67" s="39"/>
      <c r="G67" s="39"/>
      <c r="H67" s="39"/>
      <c r="I67" s="39"/>
      <c r="J67" s="119"/>
    </row>
    <row r="68" spans="3:10" x14ac:dyDescent="0.25">
      <c r="C68" s="63" t="s">
        <v>178</v>
      </c>
      <c r="D68" s="38"/>
      <c r="E68" s="39"/>
      <c r="F68" s="39"/>
      <c r="G68" s="39"/>
      <c r="H68" s="39"/>
      <c r="I68" s="39"/>
      <c r="J68" s="119"/>
    </row>
    <row r="69" spans="3:10" x14ac:dyDescent="0.25">
      <c r="C69" s="63" t="s">
        <v>179</v>
      </c>
      <c r="D69" s="38"/>
      <c r="E69" s="39"/>
      <c r="F69" s="39"/>
      <c r="G69" s="39"/>
      <c r="H69" s="39"/>
      <c r="I69" s="39"/>
      <c r="J69" s="119"/>
    </row>
    <row r="70" spans="3:10" x14ac:dyDescent="0.25">
      <c r="C70" s="63" t="s">
        <v>180</v>
      </c>
      <c r="D70" s="38"/>
      <c r="E70" s="39"/>
      <c r="F70" s="39"/>
      <c r="G70" s="39"/>
      <c r="H70" s="39"/>
      <c r="I70" s="39"/>
      <c r="J70" s="119"/>
    </row>
    <row r="71" spans="3:10" x14ac:dyDescent="0.25">
      <c r="C71" s="63" t="s">
        <v>181</v>
      </c>
      <c r="D71" s="38"/>
      <c r="E71" s="39"/>
      <c r="F71" s="39"/>
      <c r="G71" s="39"/>
      <c r="H71" s="39"/>
      <c r="I71" s="39"/>
      <c r="J71" s="119"/>
    </row>
    <row r="72" spans="3:10" x14ac:dyDescent="0.25">
      <c r="C72" s="63" t="s">
        <v>182</v>
      </c>
      <c r="D72" s="38"/>
      <c r="E72" s="39"/>
      <c r="F72" s="39"/>
      <c r="G72" s="39"/>
      <c r="H72" s="39"/>
      <c r="I72" s="39"/>
      <c r="J72" s="119"/>
    </row>
    <row r="73" spans="3:10" x14ac:dyDescent="0.25">
      <c r="C73" s="63" t="s">
        <v>183</v>
      </c>
      <c r="D73" s="38"/>
      <c r="E73" s="39"/>
      <c r="F73" s="39"/>
      <c r="G73" s="39"/>
      <c r="H73" s="39"/>
      <c r="I73" s="39"/>
      <c r="J73" s="119"/>
    </row>
    <row r="74" spans="3:10" x14ac:dyDescent="0.25">
      <c r="C74" s="63" t="s">
        <v>184</v>
      </c>
      <c r="D74" s="38"/>
      <c r="E74" s="39"/>
      <c r="F74" s="39"/>
      <c r="G74" s="39"/>
      <c r="H74" s="39"/>
      <c r="I74" s="39"/>
      <c r="J74" s="119"/>
    </row>
    <row r="75" spans="3:10" x14ac:dyDescent="0.25">
      <c r="C75" s="63" t="s">
        <v>185</v>
      </c>
      <c r="D75" s="38"/>
      <c r="E75" s="39"/>
      <c r="F75" s="39"/>
      <c r="G75" s="39"/>
      <c r="H75" s="39"/>
      <c r="I75" s="39"/>
      <c r="J75" s="119"/>
    </row>
    <row r="76" spans="3:10" ht="15.75" thickBot="1" x14ac:dyDescent="0.3">
      <c r="C76" s="64" t="s">
        <v>186</v>
      </c>
      <c r="D76" s="43"/>
      <c r="E76" s="44"/>
      <c r="F76" s="44"/>
      <c r="G76" s="44"/>
      <c r="H76" s="44"/>
      <c r="I76" s="44"/>
      <c r="J76" s="120"/>
    </row>
    <row r="77" spans="3:10" ht="15.75" thickBot="1" x14ac:dyDescent="0.3"/>
    <row r="78" spans="3:10" ht="15.75" thickBot="1" x14ac:dyDescent="0.3">
      <c r="E78" s="151" t="s">
        <v>133</v>
      </c>
      <c r="F78" s="152"/>
      <c r="G78" s="152"/>
      <c r="H78" s="152"/>
      <c r="I78" s="152"/>
      <c r="J78" s="153"/>
    </row>
    <row r="79" spans="3:10" ht="15.75" thickBot="1" x14ac:dyDescent="0.3">
      <c r="E79" s="59">
        <v>1</v>
      </c>
      <c r="F79" s="60">
        <v>2</v>
      </c>
      <c r="G79" s="60">
        <v>3</v>
      </c>
      <c r="H79" s="60">
        <v>4</v>
      </c>
      <c r="I79" s="61">
        <v>5</v>
      </c>
      <c r="J79" s="61">
        <v>6</v>
      </c>
    </row>
    <row r="80" spans="3:10" ht="15.75" thickBot="1" x14ac:dyDescent="0.3">
      <c r="E80" s="116"/>
      <c r="F80" s="116"/>
      <c r="G80" s="116"/>
      <c r="H80" s="116"/>
      <c r="I80" s="116"/>
      <c r="J80" s="116"/>
    </row>
    <row r="81" spans="2:10" x14ac:dyDescent="0.25">
      <c r="B81" s="25"/>
      <c r="C81" s="100" t="s">
        <v>78</v>
      </c>
      <c r="D81" s="110" t="s">
        <v>121</v>
      </c>
      <c r="E81" s="110" t="s">
        <v>10</v>
      </c>
      <c r="F81" s="110" t="s">
        <v>10</v>
      </c>
      <c r="G81" s="110" t="s">
        <v>10</v>
      </c>
      <c r="H81" s="110" t="s">
        <v>10</v>
      </c>
      <c r="I81" s="110" t="s">
        <v>10</v>
      </c>
      <c r="J81" s="111" t="s">
        <v>10</v>
      </c>
    </row>
    <row r="82" spans="2:10" x14ac:dyDescent="0.25">
      <c r="C82" s="63" t="s">
        <v>75</v>
      </c>
      <c r="D82" s="38"/>
      <c r="E82" s="39"/>
      <c r="F82" s="39"/>
      <c r="G82" s="39"/>
      <c r="H82" s="39"/>
      <c r="I82" s="39"/>
      <c r="J82" s="119"/>
    </row>
    <row r="83" spans="2:10" x14ac:dyDescent="0.25">
      <c r="C83" s="63" t="s">
        <v>76</v>
      </c>
      <c r="D83" s="38"/>
      <c r="E83" s="39"/>
      <c r="F83" s="39"/>
      <c r="G83" s="39"/>
      <c r="H83" s="39"/>
      <c r="I83" s="39"/>
      <c r="J83" s="119"/>
    </row>
    <row r="84" spans="2:10" x14ac:dyDescent="0.25">
      <c r="C84" s="63" t="s">
        <v>77</v>
      </c>
      <c r="D84" s="38"/>
      <c r="E84" s="39"/>
      <c r="F84" s="39"/>
      <c r="G84" s="39"/>
      <c r="H84" s="39"/>
      <c r="I84" s="39"/>
      <c r="J84" s="119"/>
    </row>
    <row r="85" spans="2:10" x14ac:dyDescent="0.25">
      <c r="C85" s="63" t="s">
        <v>79</v>
      </c>
      <c r="D85" s="38"/>
      <c r="E85" s="39"/>
      <c r="F85" s="39"/>
      <c r="G85" s="39"/>
      <c r="H85" s="39"/>
      <c r="I85" s="39"/>
      <c r="J85" s="119"/>
    </row>
    <row r="86" spans="2:10" x14ac:dyDescent="0.25">
      <c r="C86" s="63" t="s">
        <v>80</v>
      </c>
      <c r="D86" s="38"/>
      <c r="E86" s="39"/>
      <c r="F86" s="39"/>
      <c r="G86" s="39"/>
      <c r="H86" s="39"/>
      <c r="I86" s="39"/>
      <c r="J86" s="119"/>
    </row>
    <row r="87" spans="2:10" x14ac:dyDescent="0.25">
      <c r="C87" s="63" t="s">
        <v>81</v>
      </c>
      <c r="D87" s="38"/>
      <c r="E87" s="39"/>
      <c r="F87" s="39"/>
      <c r="G87" s="39"/>
      <c r="H87" s="39"/>
      <c r="I87" s="39"/>
      <c r="J87" s="119"/>
    </row>
    <row r="88" spans="2:10" x14ac:dyDescent="0.25">
      <c r="C88" s="63" t="s">
        <v>82</v>
      </c>
      <c r="D88" s="38"/>
      <c r="E88" s="39"/>
      <c r="F88" s="39"/>
      <c r="G88" s="39"/>
      <c r="H88" s="39"/>
      <c r="I88" s="39"/>
      <c r="J88" s="119"/>
    </row>
    <row r="89" spans="2:10" x14ac:dyDescent="0.25">
      <c r="C89" s="63" t="s">
        <v>83</v>
      </c>
      <c r="D89" s="38"/>
      <c r="E89" s="39"/>
      <c r="F89" s="39"/>
      <c r="G89" s="39"/>
      <c r="H89" s="39"/>
      <c r="I89" s="39"/>
      <c r="J89" s="119"/>
    </row>
    <row r="90" spans="2:10" x14ac:dyDescent="0.25">
      <c r="C90" s="63" t="s">
        <v>84</v>
      </c>
      <c r="D90" s="38"/>
      <c r="E90" s="39"/>
      <c r="F90" s="39"/>
      <c r="G90" s="39"/>
      <c r="H90" s="39"/>
      <c r="I90" s="39"/>
      <c r="J90" s="119"/>
    </row>
    <row r="91" spans="2:10" x14ac:dyDescent="0.25">
      <c r="C91" s="63" t="s">
        <v>178</v>
      </c>
      <c r="D91" s="38"/>
      <c r="E91" s="39"/>
      <c r="F91" s="39"/>
      <c r="G91" s="39"/>
      <c r="H91" s="39"/>
      <c r="I91" s="39"/>
      <c r="J91" s="119"/>
    </row>
    <row r="92" spans="2:10" x14ac:dyDescent="0.25">
      <c r="C92" s="63" t="s">
        <v>179</v>
      </c>
      <c r="D92" s="38"/>
      <c r="E92" s="39"/>
      <c r="F92" s="39"/>
      <c r="G92" s="39"/>
      <c r="H92" s="39"/>
      <c r="I92" s="39"/>
      <c r="J92" s="119"/>
    </row>
    <row r="93" spans="2:10" x14ac:dyDescent="0.25">
      <c r="C93" s="63" t="s">
        <v>180</v>
      </c>
      <c r="D93" s="38"/>
      <c r="E93" s="39"/>
      <c r="F93" s="39"/>
      <c r="G93" s="39"/>
      <c r="H93" s="39"/>
      <c r="I93" s="39"/>
      <c r="J93" s="119"/>
    </row>
    <row r="94" spans="2:10" x14ac:dyDescent="0.25">
      <c r="C94" s="63" t="s">
        <v>181</v>
      </c>
      <c r="D94" s="38"/>
      <c r="E94" s="39"/>
      <c r="F94" s="39"/>
      <c r="G94" s="39"/>
      <c r="H94" s="39"/>
      <c r="I94" s="39"/>
      <c r="J94" s="119"/>
    </row>
    <row r="95" spans="2:10" x14ac:dyDescent="0.25">
      <c r="C95" s="63" t="s">
        <v>182</v>
      </c>
      <c r="D95" s="38"/>
      <c r="E95" s="39"/>
      <c r="F95" s="39"/>
      <c r="G95" s="39"/>
      <c r="H95" s="39"/>
      <c r="I95" s="39"/>
      <c r="J95" s="119"/>
    </row>
    <row r="96" spans="2:10" x14ac:dyDescent="0.25">
      <c r="C96" s="63" t="s">
        <v>183</v>
      </c>
      <c r="D96" s="38"/>
      <c r="E96" s="39"/>
      <c r="F96" s="39"/>
      <c r="G96" s="39"/>
      <c r="H96" s="39"/>
      <c r="I96" s="39"/>
      <c r="J96" s="119"/>
    </row>
    <row r="97" spans="3:10" x14ac:dyDescent="0.25">
      <c r="C97" s="63" t="s">
        <v>184</v>
      </c>
      <c r="D97" s="38"/>
      <c r="E97" s="39"/>
      <c r="F97" s="39"/>
      <c r="G97" s="39"/>
      <c r="H97" s="39"/>
      <c r="I97" s="39"/>
      <c r="J97" s="119"/>
    </row>
    <row r="98" spans="3:10" x14ac:dyDescent="0.25">
      <c r="C98" s="63" t="s">
        <v>185</v>
      </c>
      <c r="D98" s="38"/>
      <c r="E98" s="39"/>
      <c r="F98" s="39"/>
      <c r="G98" s="39"/>
      <c r="H98" s="39"/>
      <c r="I98" s="39"/>
      <c r="J98" s="119"/>
    </row>
    <row r="99" spans="3:10" ht="15.75" thickBot="1" x14ac:dyDescent="0.3">
      <c r="C99" s="64" t="s">
        <v>186</v>
      </c>
      <c r="D99" s="43"/>
      <c r="E99" s="44"/>
      <c r="F99" s="44"/>
      <c r="G99" s="44"/>
      <c r="H99" s="44"/>
      <c r="I99" s="44"/>
      <c r="J99" s="120"/>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topLeftCell="A96" zoomScaleNormal="100" workbookViewId="0">
      <selection activeCell="E109" sqref="E109"/>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0" width="21.7109375" style="19" customWidth="1"/>
    <col min="11" max="11" width="19.42578125" style="19" bestFit="1" customWidth="1"/>
    <col min="12" max="12" width="19.8554687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c r="D5" s="25"/>
    </row>
    <row r="6" spans="2:18" ht="15.75" thickBot="1" x14ac:dyDescent="0.3">
      <c r="C6" s="25" t="s">
        <v>107</v>
      </c>
      <c r="D6" s="28">
        <v>45658</v>
      </c>
      <c r="E6" s="27"/>
    </row>
    <row r="7" spans="2:18" ht="15.75" thickBot="1" x14ac:dyDescent="0.3"/>
    <row r="8" spans="2:18" ht="15.75" thickBot="1" x14ac:dyDescent="0.3">
      <c r="B8" s="143" t="s">
        <v>204</v>
      </c>
      <c r="C8" s="143"/>
      <c r="D8" s="93" t="s">
        <v>229</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209</v>
      </c>
      <c r="M14" s="65" t="s">
        <v>19</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4</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6</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21</v>
      </c>
      <c r="L19" s="124">
        <f>SUM(L15:L18)</f>
        <v>0</v>
      </c>
      <c r="M19" s="124">
        <f>SUM(M15:M18)</f>
        <v>21</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10</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12</v>
      </c>
      <c r="N21" s="124">
        <f>SUM(N17+N18)</f>
        <v>0</v>
      </c>
      <c r="O21" s="78" t="s">
        <v>52</v>
      </c>
      <c r="P21" s="79" t="s">
        <v>48</v>
      </c>
      <c r="Q21" s="80" t="s">
        <v>53</v>
      </c>
      <c r="R21" s="81" t="s">
        <v>54</v>
      </c>
    </row>
    <row r="22" spans="3:18" x14ac:dyDescent="0.25">
      <c r="C22" s="66" t="s">
        <v>5</v>
      </c>
      <c r="D22" s="74" t="s">
        <v>55</v>
      </c>
      <c r="E22" s="99"/>
      <c r="F22" s="99"/>
      <c r="G22" s="99">
        <v>0</v>
      </c>
      <c r="J22" s="75" t="s">
        <v>56</v>
      </c>
      <c r="K22" s="75">
        <v>4</v>
      </c>
      <c r="L22" s="75">
        <v>5</v>
      </c>
      <c r="M22" s="75">
        <v>5</v>
      </c>
      <c r="N22" s="75"/>
      <c r="O22" s="70" t="s">
        <v>23</v>
      </c>
      <c r="P22" s="71" t="s">
        <v>29</v>
      </c>
      <c r="Q22" s="72" t="s">
        <v>24</v>
      </c>
      <c r="R22" s="73"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v>2</v>
      </c>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c r="C40" s="25"/>
    </row>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c r="G78" s="99">
        <v>1</v>
      </c>
      <c r="N78" s="160"/>
      <c r="O78" s="160"/>
      <c r="P78" s="160"/>
      <c r="Q78" s="77"/>
    </row>
    <row r="79" spans="3:17" ht="30" x14ac:dyDescent="0.25">
      <c r="C79" s="66" t="s">
        <v>13</v>
      </c>
      <c r="D79" s="68" t="s">
        <v>22</v>
      </c>
      <c r="E79" s="99"/>
      <c r="F79" s="99"/>
      <c r="G79" s="99">
        <v>1</v>
      </c>
    </row>
    <row r="80" spans="3:17" x14ac:dyDescent="0.25">
      <c r="C80" s="66" t="s">
        <v>4</v>
      </c>
      <c r="D80" s="68" t="s">
        <v>26</v>
      </c>
      <c r="E80" s="99"/>
      <c r="F80" s="99"/>
      <c r="G80" s="99">
        <v>1</v>
      </c>
    </row>
    <row r="81" spans="3:7" x14ac:dyDescent="0.25">
      <c r="C81" s="66" t="s">
        <v>5</v>
      </c>
      <c r="D81" s="68" t="s">
        <v>31</v>
      </c>
      <c r="E81" s="99"/>
      <c r="F81" s="99">
        <v>1</v>
      </c>
      <c r="G81" s="99"/>
    </row>
    <row r="82" spans="3:7" ht="30" x14ac:dyDescent="0.25">
      <c r="C82" s="66" t="s">
        <v>4</v>
      </c>
      <c r="D82" s="74" t="s">
        <v>34</v>
      </c>
      <c r="E82" s="99">
        <v>2</v>
      </c>
      <c r="F82" s="99"/>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v>2</v>
      </c>
      <c r="F85" s="99"/>
      <c r="G85" s="99"/>
    </row>
    <row r="86" spans="3:7" x14ac:dyDescent="0.25">
      <c r="C86" s="66" t="s">
        <v>5</v>
      </c>
      <c r="D86" s="74" t="s">
        <v>55</v>
      </c>
      <c r="E86" s="99"/>
      <c r="F86" s="99"/>
      <c r="G86" s="99">
        <v>0</v>
      </c>
    </row>
    <row r="87" spans="3:7" x14ac:dyDescent="0.25">
      <c r="C87" s="66" t="s">
        <v>4</v>
      </c>
      <c r="D87" s="68" t="s">
        <v>57</v>
      </c>
      <c r="E87" s="99">
        <v>2</v>
      </c>
      <c r="F87" s="99"/>
      <c r="G87" s="99"/>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topLeftCell="A89" zoomScaleNormal="100" workbookViewId="0">
      <selection activeCell="E103" sqref="E10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45748</v>
      </c>
    </row>
    <row r="7" spans="2:18" ht="15.75" thickBot="1" x14ac:dyDescent="0.3">
      <c r="F7" s="26"/>
    </row>
    <row r="8" spans="2:18" ht="15.75" thickBot="1" x14ac:dyDescent="0.3">
      <c r="B8" s="143" t="s">
        <v>204</v>
      </c>
      <c r="C8" s="143"/>
      <c r="D8" s="93" t="s">
        <v>219</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208</v>
      </c>
      <c r="M14" s="65" t="s">
        <v>163</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3</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5</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20</v>
      </c>
      <c r="L19" s="124">
        <f>SUM(L15:L18)</f>
        <v>0</v>
      </c>
      <c r="M19" s="124">
        <f>SUM(M15:M18)</f>
        <v>20</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11</v>
      </c>
      <c r="N21" s="124">
        <f>SUM(N17+N18)</f>
        <v>0</v>
      </c>
      <c r="O21" s="78" t="s">
        <v>52</v>
      </c>
      <c r="P21" s="79" t="s">
        <v>48</v>
      </c>
      <c r="Q21" s="80" t="s">
        <v>53</v>
      </c>
      <c r="R21" s="81" t="s">
        <v>54</v>
      </c>
    </row>
    <row r="22" spans="3:18" x14ac:dyDescent="0.25">
      <c r="C22" s="66" t="s">
        <v>5</v>
      </c>
      <c r="D22" s="74" t="s">
        <v>55</v>
      </c>
      <c r="E22" s="99"/>
      <c r="F22" s="99"/>
      <c r="G22" s="99">
        <v>0</v>
      </c>
      <c r="J22" s="39" t="s">
        <v>56</v>
      </c>
      <c r="K22" s="39">
        <v>5</v>
      </c>
      <c r="L22" s="39">
        <v>5</v>
      </c>
      <c r="M22" s="75">
        <v>6</v>
      </c>
      <c r="N22" s="75"/>
      <c r="O22" s="78" t="s">
        <v>23</v>
      </c>
      <c r="P22" s="79" t="s">
        <v>29</v>
      </c>
      <c r="Q22" s="80" t="s">
        <v>24</v>
      </c>
      <c r="R22" s="81"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v>1</v>
      </c>
      <c r="G78" s="99"/>
      <c r="N78" s="160"/>
      <c r="O78" s="160"/>
      <c r="P78" s="160"/>
      <c r="Q78" s="77"/>
    </row>
    <row r="79" spans="3:17" ht="30" x14ac:dyDescent="0.25">
      <c r="C79" s="66" t="s">
        <v>13</v>
      </c>
      <c r="D79" s="68" t="s">
        <v>22</v>
      </c>
      <c r="E79" s="99"/>
      <c r="F79" s="99">
        <v>1</v>
      </c>
      <c r="G79" s="99"/>
    </row>
    <row r="80" spans="3:17" x14ac:dyDescent="0.25">
      <c r="C80" s="66" t="s">
        <v>4</v>
      </c>
      <c r="D80" s="68" t="s">
        <v>26</v>
      </c>
      <c r="E80" s="99"/>
      <c r="F80" s="99">
        <v>1</v>
      </c>
      <c r="G80" s="99"/>
    </row>
    <row r="81" spans="3:7" x14ac:dyDescent="0.25">
      <c r="C81" s="66" t="s">
        <v>5</v>
      </c>
      <c r="D81" s="68" t="s">
        <v>31</v>
      </c>
      <c r="E81" s="99"/>
      <c r="F81" s="99">
        <v>1</v>
      </c>
      <c r="G81" s="99"/>
    </row>
    <row r="82" spans="3:7" ht="30" x14ac:dyDescent="0.25">
      <c r="C82" s="66" t="s">
        <v>4</v>
      </c>
      <c r="D82" s="74" t="s">
        <v>34</v>
      </c>
      <c r="E82" s="99"/>
      <c r="F82" s="99">
        <v>1</v>
      </c>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c r="F85" s="99"/>
      <c r="G85" s="99">
        <v>2</v>
      </c>
    </row>
    <row r="86" spans="3:7" x14ac:dyDescent="0.25">
      <c r="C86" s="66" t="s">
        <v>5</v>
      </c>
      <c r="D86" s="74" t="s">
        <v>55</v>
      </c>
      <c r="E86" s="99"/>
      <c r="F86" s="99"/>
      <c r="G86" s="99">
        <v>0</v>
      </c>
    </row>
    <row r="87" spans="3:7" x14ac:dyDescent="0.25">
      <c r="C87" s="66" t="s">
        <v>4</v>
      </c>
      <c r="D87" s="68" t="s">
        <v>57</v>
      </c>
      <c r="E87" s="99"/>
      <c r="F87" s="99"/>
      <c r="G87" s="99">
        <v>2</v>
      </c>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A71" zoomScaleNormal="100" workbookViewId="0">
      <selection activeCell="E86" sqref="E86"/>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45839</v>
      </c>
    </row>
    <row r="7" spans="2:18" ht="15.75" thickBot="1" x14ac:dyDescent="0.3"/>
    <row r="8" spans="2:18" ht="15.75" thickBot="1" x14ac:dyDescent="0.3">
      <c r="B8" s="143" t="s">
        <v>204</v>
      </c>
      <c r="C8" s="143"/>
      <c r="D8" s="93" t="s">
        <v>229</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v>2</v>
      </c>
    </row>
    <row r="13" spans="2:18" x14ac:dyDescent="0.25">
      <c r="C13" s="66" t="s">
        <v>15</v>
      </c>
      <c r="D13" s="68" t="s">
        <v>16</v>
      </c>
      <c r="E13" s="99"/>
      <c r="F13" s="99"/>
      <c r="G13" s="99">
        <v>2</v>
      </c>
      <c r="J13" s="25" t="s">
        <v>17</v>
      </c>
    </row>
    <row r="14" spans="2: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2: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82"/>
      <c r="P23" s="82"/>
      <c r="Q23" s="82"/>
      <c r="R23" s="82"/>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A38" zoomScaleNormal="100" workbookViewId="0">
      <selection activeCell="E53" sqref="E5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1:18" x14ac:dyDescent="0.25">
      <c r="C2" s="25" t="s">
        <v>129</v>
      </c>
      <c r="D2" s="19" t="s">
        <v>166</v>
      </c>
    </row>
    <row r="3" spans="1:18" x14ac:dyDescent="0.25">
      <c r="C3" s="25"/>
      <c r="D3" s="19" t="s">
        <v>167</v>
      </c>
    </row>
    <row r="4" spans="1:18" x14ac:dyDescent="0.25">
      <c r="C4" s="25"/>
      <c r="D4" s="19" t="s">
        <v>168</v>
      </c>
    </row>
    <row r="5" spans="1:18" ht="15.75" thickBot="1" x14ac:dyDescent="0.3">
      <c r="C5" s="25"/>
    </row>
    <row r="6" spans="1:18" ht="15.75" thickBot="1" x14ac:dyDescent="0.3">
      <c r="C6" s="25" t="s">
        <v>107</v>
      </c>
      <c r="D6" s="28">
        <v>45931</v>
      </c>
    </row>
    <row r="7" spans="1:18" ht="15.75" thickBot="1" x14ac:dyDescent="0.3"/>
    <row r="8" spans="1:18" ht="15.75" thickBot="1" x14ac:dyDescent="0.3">
      <c r="A8" s="26"/>
      <c r="B8" s="144" t="s">
        <v>204</v>
      </c>
      <c r="C8" s="144"/>
      <c r="D8" s="93" t="s">
        <v>229</v>
      </c>
      <c r="E8" s="146" t="s">
        <v>203</v>
      </c>
    </row>
    <row r="10" spans="1:18" x14ac:dyDescent="0.25">
      <c r="C10" s="65" t="s">
        <v>2</v>
      </c>
      <c r="D10" s="65" t="s">
        <v>7</v>
      </c>
      <c r="E10" s="65" t="s">
        <v>8</v>
      </c>
      <c r="F10" s="65" t="s">
        <v>9</v>
      </c>
      <c r="G10" s="65" t="b">
        <v>1</v>
      </c>
    </row>
    <row r="11" spans="1:18" x14ac:dyDescent="0.25">
      <c r="C11" s="66"/>
      <c r="D11" s="67" t="s">
        <v>10</v>
      </c>
      <c r="E11" s="34" t="s">
        <v>11</v>
      </c>
      <c r="F11" s="34">
        <v>1</v>
      </c>
      <c r="G11" s="34" t="s">
        <v>12</v>
      </c>
      <c r="J11" s="19" t="s">
        <v>188</v>
      </c>
    </row>
    <row r="12" spans="1:18" x14ac:dyDescent="0.25">
      <c r="C12" s="66" t="s">
        <v>13</v>
      </c>
      <c r="D12" s="68" t="s">
        <v>14</v>
      </c>
      <c r="E12" s="99"/>
      <c r="F12" s="99"/>
      <c r="G12" s="99">
        <v>2</v>
      </c>
    </row>
    <row r="13" spans="1:18" x14ac:dyDescent="0.25">
      <c r="C13" s="66" t="s">
        <v>15</v>
      </c>
      <c r="D13" s="68" t="s">
        <v>16</v>
      </c>
      <c r="E13" s="99"/>
      <c r="F13" s="99"/>
      <c r="G13" s="99">
        <v>2</v>
      </c>
      <c r="J13" s="25" t="s">
        <v>17</v>
      </c>
    </row>
    <row r="14" spans="1: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1: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1: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76"/>
      <c r="P23" s="76"/>
      <c r="Q23" s="76"/>
      <c r="R23" s="76"/>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6</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6</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6</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L7" sqref="L7"/>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D1" workbookViewId="0">
      <selection activeCell="H3" sqref="H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69"/>
      <c r="F12" s="39"/>
      <c r="G12" s="39"/>
    </row>
    <row r="13" spans="2:18" x14ac:dyDescent="0.25">
      <c r="C13" s="66" t="s">
        <v>15</v>
      </c>
      <c r="D13" s="68" t="s">
        <v>16</v>
      </c>
      <c r="E13" s="39"/>
      <c r="F13" s="39"/>
      <c r="G13" s="39"/>
      <c r="J13" s="25" t="s">
        <v>17</v>
      </c>
    </row>
    <row r="14" spans="2:18" ht="30" x14ac:dyDescent="0.25">
      <c r="C14" s="66" t="s">
        <v>3</v>
      </c>
      <c r="D14" s="68" t="s">
        <v>18</v>
      </c>
      <c r="E14" s="39"/>
      <c r="F14" s="39"/>
      <c r="G14" s="39"/>
      <c r="J14" s="65" t="s">
        <v>2</v>
      </c>
      <c r="K14" s="65" t="s">
        <v>207</v>
      </c>
      <c r="L14" s="65" t="s">
        <v>208</v>
      </c>
      <c r="M14" s="65" t="s">
        <v>19</v>
      </c>
      <c r="N14" s="65" t="s">
        <v>20</v>
      </c>
      <c r="O14" s="157" t="s">
        <v>21</v>
      </c>
      <c r="P14" s="158"/>
      <c r="Q14" s="158"/>
      <c r="R14" s="159"/>
    </row>
    <row r="15" spans="2:18" ht="30" x14ac:dyDescent="0.25">
      <c r="C15" s="66" t="s">
        <v>13</v>
      </c>
      <c r="D15" s="68" t="s">
        <v>22</v>
      </c>
      <c r="E15" s="39"/>
      <c r="F15" s="39"/>
      <c r="G15" s="3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39"/>
      <c r="F16" s="39"/>
      <c r="G16" s="3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39"/>
      <c r="F17" s="39"/>
      <c r="G17" s="3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39"/>
      <c r="F18" s="39"/>
      <c r="G18" s="3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39"/>
      <c r="F19" s="39"/>
      <c r="G19" s="3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39"/>
      <c r="F20" s="39"/>
      <c r="G20" s="3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39"/>
      <c r="F21" s="39"/>
      <c r="G21" s="3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39"/>
      <c r="F22" s="39"/>
      <c r="G22" s="39"/>
      <c r="J22" s="39" t="s">
        <v>56</v>
      </c>
      <c r="K22" s="39"/>
      <c r="L22" s="39"/>
      <c r="M22" s="75"/>
      <c r="N22" s="75"/>
      <c r="O22" s="78" t="s">
        <v>23</v>
      </c>
      <c r="P22" s="79" t="s">
        <v>29</v>
      </c>
      <c r="Q22" s="80" t="s">
        <v>24</v>
      </c>
      <c r="R22" s="81" t="s">
        <v>25</v>
      </c>
    </row>
    <row r="23" spans="3:18" x14ac:dyDescent="0.25">
      <c r="C23" s="66" t="s">
        <v>4</v>
      </c>
      <c r="D23" s="68" t="s">
        <v>57</v>
      </c>
      <c r="E23" s="39"/>
      <c r="F23" s="39"/>
      <c r="G23" s="39"/>
      <c r="J23" s="65"/>
      <c r="K23" s="66"/>
      <c r="L23" s="66"/>
      <c r="M23" s="66"/>
      <c r="N23" s="66"/>
      <c r="O23" s="76"/>
      <c r="P23" s="76"/>
      <c r="Q23" s="76"/>
      <c r="R23" s="76"/>
    </row>
    <row r="24" spans="3:18" x14ac:dyDescent="0.25">
      <c r="C24" s="66" t="s">
        <v>3</v>
      </c>
      <c r="D24" s="68" t="s">
        <v>58</v>
      </c>
      <c r="E24" s="39"/>
      <c r="F24" s="39"/>
      <c r="G24" s="3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39"/>
      <c r="F25" s="39"/>
      <c r="G25" s="39"/>
    </row>
    <row r="26" spans="3:18" x14ac:dyDescent="0.25">
      <c r="C26" s="66" t="s">
        <v>15</v>
      </c>
      <c r="D26" s="68" t="s">
        <v>62</v>
      </c>
      <c r="E26" s="39"/>
      <c r="F26" s="39"/>
      <c r="G26" s="39"/>
    </row>
    <row r="27" spans="3:18" ht="30" x14ac:dyDescent="0.25">
      <c r="C27" s="66" t="s">
        <v>3</v>
      </c>
      <c r="D27" s="68" t="s">
        <v>63</v>
      </c>
      <c r="E27" s="39"/>
      <c r="F27" s="39"/>
      <c r="G27" s="39"/>
    </row>
    <row r="28" spans="3:18" x14ac:dyDescent="0.25">
      <c r="C28" s="66" t="s">
        <v>13</v>
      </c>
      <c r="D28" s="68" t="s">
        <v>64</v>
      </c>
      <c r="E28" s="39"/>
      <c r="F28" s="39"/>
      <c r="G28" s="39"/>
    </row>
    <row r="29" spans="3:18" x14ac:dyDescent="0.25">
      <c r="C29" s="66" t="s">
        <v>4</v>
      </c>
      <c r="D29" s="68" t="s">
        <v>65</v>
      </c>
      <c r="E29" s="39"/>
      <c r="F29" s="39"/>
      <c r="G29" s="39"/>
    </row>
    <row r="30" spans="3:18" x14ac:dyDescent="0.25">
      <c r="C30" s="66" t="s">
        <v>5</v>
      </c>
      <c r="D30" s="68" t="s">
        <v>66</v>
      </c>
      <c r="E30" s="39"/>
      <c r="F30" s="39"/>
      <c r="G30" s="39"/>
    </row>
    <row r="31" spans="3:18" ht="30" x14ac:dyDescent="0.25">
      <c r="C31" s="66" t="s">
        <v>13</v>
      </c>
      <c r="D31" s="68" t="s">
        <v>67</v>
      </c>
      <c r="E31" s="39"/>
      <c r="F31" s="39"/>
      <c r="G31" s="39"/>
    </row>
    <row r="32" spans="3:18" x14ac:dyDescent="0.25">
      <c r="C32" s="66" t="s">
        <v>15</v>
      </c>
      <c r="D32" s="74" t="s">
        <v>68</v>
      </c>
      <c r="E32" s="39"/>
      <c r="F32" s="39"/>
      <c r="G32" s="39"/>
    </row>
    <row r="33" spans="2:17" x14ac:dyDescent="0.25">
      <c r="C33" s="66" t="s">
        <v>4</v>
      </c>
      <c r="D33" s="68" t="s">
        <v>69</v>
      </c>
      <c r="E33" s="39"/>
      <c r="F33" s="39"/>
      <c r="G33" s="39"/>
    </row>
    <row r="34" spans="2:17" ht="30" x14ac:dyDescent="0.25">
      <c r="C34" s="66" t="s">
        <v>5</v>
      </c>
      <c r="D34" s="68" t="s">
        <v>70</v>
      </c>
      <c r="E34" s="39"/>
      <c r="F34" s="39"/>
      <c r="G34" s="39"/>
    </row>
    <row r="35" spans="2:17" x14ac:dyDescent="0.25">
      <c r="C35" s="66" t="s">
        <v>3</v>
      </c>
      <c r="D35" s="68" t="s">
        <v>71</v>
      </c>
      <c r="E35" s="39"/>
      <c r="F35" s="39"/>
      <c r="G35" s="39"/>
    </row>
    <row r="36" spans="2:17" ht="30" x14ac:dyDescent="0.25">
      <c r="C36" s="66" t="s">
        <v>15</v>
      </c>
      <c r="D36" s="74" t="s">
        <v>72</v>
      </c>
      <c r="E36" s="39"/>
      <c r="F36" s="3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defaultRowHeight="15" x14ac:dyDescent="0.25"/>
  <cols>
    <col min="6" max="6" width="19.7109375" customWidth="1"/>
    <col min="7" max="7" width="2" bestFit="1" customWidth="1"/>
    <col min="8" max="8" width="13.28515625" bestFit="1" customWidth="1"/>
  </cols>
  <sheetData>
    <row r="7" spans="5:8" x14ac:dyDescent="0.25">
      <c r="E7" s="1" t="s">
        <v>197</v>
      </c>
    </row>
    <row r="8" spans="5:8" ht="15.75" thickBot="1" x14ac:dyDescent="0.3"/>
    <row r="9" spans="5:8" x14ac:dyDescent="0.25">
      <c r="E9" s="131" t="s">
        <v>198</v>
      </c>
      <c r="F9" s="139" t="s">
        <v>199</v>
      </c>
      <c r="G9" s="132">
        <v>1</v>
      </c>
      <c r="H9" s="50">
        <f>IF('SDQ Period 1'!D6="", "", 'SDQ Period 1'!D6)</f>
        <v>45658</v>
      </c>
    </row>
    <row r="10" spans="5:8" x14ac:dyDescent="0.25">
      <c r="E10" s="117"/>
      <c r="F10" s="140" t="s">
        <v>199</v>
      </c>
      <c r="G10" s="8">
        <v>2</v>
      </c>
      <c r="H10" s="52">
        <f>IF('SDQ Period 2'!D6="", "", 'SDQ Period 2'!D6)</f>
        <v>45748</v>
      </c>
    </row>
    <row r="11" spans="5:8" x14ac:dyDescent="0.25">
      <c r="E11" s="117"/>
      <c r="F11" s="140" t="s">
        <v>199</v>
      </c>
      <c r="G11" s="8">
        <v>3</v>
      </c>
      <c r="H11" s="52">
        <f>IF('SDQ Period 3'!D6="", "", 'SDQ Period 3'!D6)</f>
        <v>45839</v>
      </c>
    </row>
    <row r="12" spans="5:8" x14ac:dyDescent="0.25">
      <c r="E12" s="117"/>
      <c r="F12" s="140" t="s">
        <v>199</v>
      </c>
      <c r="G12" s="8">
        <v>4</v>
      </c>
      <c r="H12" s="52">
        <f>IF('SDQ Period 4'!D6="", "", 'SDQ Period 4'!D6)</f>
        <v>45931</v>
      </c>
    </row>
    <row r="13" spans="5:8" x14ac:dyDescent="0.25">
      <c r="E13" s="117"/>
      <c r="F13" s="140" t="s">
        <v>199</v>
      </c>
      <c r="G13" s="8">
        <v>5</v>
      </c>
      <c r="H13" s="52" t="str">
        <f>IF('SDQ Period 5'!D6="", "", 'SDQ Period 5'!D6)</f>
        <v/>
      </c>
    </row>
    <row r="14" spans="5:8" x14ac:dyDescent="0.25">
      <c r="E14" s="117"/>
      <c r="F14" s="140" t="s">
        <v>199</v>
      </c>
      <c r="G14" s="8">
        <v>6</v>
      </c>
      <c r="H14" s="52" t="str">
        <f>IF('SDQ Period 6'!D6="", "", 'SDQ Period 6'!D6)</f>
        <v/>
      </c>
    </row>
    <row r="15" spans="5:8" x14ac:dyDescent="0.25">
      <c r="E15" s="117"/>
      <c r="F15" s="140" t="s">
        <v>199</v>
      </c>
      <c r="G15" s="8">
        <v>7</v>
      </c>
      <c r="H15" s="52" t="str">
        <f>IF('SDQ Period 1'!D7="", "", 'SDQ Period 1'!D7)</f>
        <v/>
      </c>
    </row>
    <row r="16" spans="5:8" x14ac:dyDescent="0.25">
      <c r="E16" s="117"/>
      <c r="F16" s="140" t="s">
        <v>199</v>
      </c>
      <c r="G16" s="8">
        <v>8</v>
      </c>
      <c r="H16" s="52" t="str">
        <f>IF('SDQ Period 8'!D6="", "", 'SDQ Period 8'!D6)</f>
        <v/>
      </c>
    </row>
    <row r="17" spans="5:8" ht="15.75" thickBot="1" x14ac:dyDescent="0.3">
      <c r="E17" s="134"/>
      <c r="F17" s="141" t="s">
        <v>199</v>
      </c>
      <c r="G17" s="135">
        <v>9</v>
      </c>
      <c r="H17" s="54" t="str">
        <f>IF('SDQ Period 9'!D6="", "", 'SDQ Period 9'!D6)</f>
        <v/>
      </c>
    </row>
    <row r="18" spans="5:8" ht="15.75" thickBot="1" x14ac:dyDescent="0.3"/>
    <row r="19" spans="5:8" ht="15.75" thickBot="1" x14ac:dyDescent="0.3">
      <c r="H19" s="84" t="str" cm="1">
        <f t="array" ref="H19">IF(COUNT(H9:H17)&lt;2, "", IF(SUMPRODUCT((ISNUMBER(H10:H17))*(ISNUMBER(H9:H16))*(H10:H17&lt;H9:H16))&gt;0, "⚠️ Not in Order", "✓ All in Order"))</f>
        <v>✓ All in Order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A10" workbookViewId="0">
      <selection activeCell="K21" sqref="K21"/>
    </sheetView>
  </sheetViews>
  <sheetFormatPr defaultRowHeight="15" x14ac:dyDescent="0.25"/>
  <cols>
    <col min="2" max="2" width="21.42578125" bestFit="1" customWidth="1"/>
    <col min="3" max="4" width="18.5703125" customWidth="1"/>
    <col min="5" max="7" width="19.42578125" customWidth="1"/>
    <col min="8" max="10" width="17.140625" customWidth="1"/>
    <col min="11" max="14" width="14.7109375" customWidth="1"/>
  </cols>
  <sheetData>
    <row r="4" spans="2:18" x14ac:dyDescent="0.25">
      <c r="B4" s="126" t="s">
        <v>2</v>
      </c>
      <c r="C4" s="161" t="s">
        <v>210</v>
      </c>
      <c r="D4" s="162"/>
      <c r="E4" s="163"/>
      <c r="F4" s="161" t="s">
        <v>211</v>
      </c>
      <c r="G4" s="162"/>
      <c r="H4" s="163"/>
      <c r="I4" s="161" t="s">
        <v>19</v>
      </c>
      <c r="J4" s="162"/>
      <c r="K4" s="163"/>
      <c r="L4" s="161" t="s">
        <v>20</v>
      </c>
      <c r="M4" s="162"/>
      <c r="N4" s="163"/>
      <c r="O4" s="164" t="s">
        <v>191</v>
      </c>
      <c r="P4" s="165"/>
      <c r="Q4" s="165"/>
      <c r="R4" s="166"/>
    </row>
    <row r="5" spans="2:18" x14ac:dyDescent="0.25">
      <c r="B5" s="126"/>
      <c r="C5" s="127" t="s">
        <v>75</v>
      </c>
      <c r="D5" s="127" t="s">
        <v>76</v>
      </c>
      <c r="E5" s="127" t="s">
        <v>77</v>
      </c>
      <c r="F5" s="127" t="s">
        <v>75</v>
      </c>
      <c r="G5" s="127" t="s">
        <v>76</v>
      </c>
      <c r="H5" s="127" t="s">
        <v>77</v>
      </c>
      <c r="I5" s="127" t="s">
        <v>75</v>
      </c>
      <c r="J5" s="127" t="s">
        <v>76</v>
      </c>
      <c r="K5" s="127" t="s">
        <v>77</v>
      </c>
      <c r="L5" s="127" t="s">
        <v>75</v>
      </c>
      <c r="M5" s="127" t="s">
        <v>76</v>
      </c>
      <c r="N5" s="127" t="s">
        <v>77</v>
      </c>
      <c r="O5" s="167"/>
      <c r="P5" s="168"/>
      <c r="Q5" s="168"/>
      <c r="R5" s="169"/>
    </row>
    <row r="6" spans="2:18" x14ac:dyDescent="0.25">
      <c r="B6" s="126" t="s">
        <v>3</v>
      </c>
      <c r="C6" s="124">
        <f>'SDQ Period 1'!K15</f>
        <v>6</v>
      </c>
      <c r="D6" s="125">
        <f>'SDQ Period 2'!K15</f>
        <v>6</v>
      </c>
      <c r="E6" s="125">
        <f>'SDQ Period 3'!K15</f>
        <v>5</v>
      </c>
      <c r="F6" s="124">
        <f>'SDQ Period 1'!L15</f>
        <v>0</v>
      </c>
      <c r="G6" s="124">
        <f>'SDQ Period 2'!L15</f>
        <v>0</v>
      </c>
      <c r="H6" s="124">
        <f>'SDQ Period 3'!M15</f>
        <v>4</v>
      </c>
      <c r="I6" s="124">
        <f>'SDQ Period 1'!M15</f>
        <v>6</v>
      </c>
      <c r="J6" s="124">
        <f>'SDQ Period 2'!M15</f>
        <v>6</v>
      </c>
      <c r="K6" s="124">
        <f>'SDQ Period 3'!M15</f>
        <v>4</v>
      </c>
      <c r="L6" s="125">
        <f>'SDQ Period 1'!N15</f>
        <v>0</v>
      </c>
      <c r="M6" s="125">
        <f>'SDQ Period 2'!N15</f>
        <v>0</v>
      </c>
      <c r="N6" s="125">
        <f>'SDQ Period 3'!N15</f>
        <v>0</v>
      </c>
      <c r="O6" s="78" t="s">
        <v>23</v>
      </c>
      <c r="P6" s="79">
        <v>4</v>
      </c>
      <c r="Q6" s="80" t="s">
        <v>24</v>
      </c>
      <c r="R6" s="81" t="s">
        <v>25</v>
      </c>
    </row>
    <row r="7" spans="2:18" x14ac:dyDescent="0.25">
      <c r="B7" s="126" t="s">
        <v>5</v>
      </c>
      <c r="C7" s="124">
        <f>'SDQ Period 1'!K16</f>
        <v>4</v>
      </c>
      <c r="D7" s="125">
        <f>'SDQ Period 2'!K16</f>
        <v>3</v>
      </c>
      <c r="E7" s="125">
        <f>'SDQ Period 3'!K16</f>
        <v>4</v>
      </c>
      <c r="F7" s="124">
        <f>'SDQ Period 1'!L16</f>
        <v>0</v>
      </c>
      <c r="G7" s="124">
        <f>'SDQ Period 2'!L16</f>
        <v>0</v>
      </c>
      <c r="H7" s="124">
        <f>'SDQ Period 3'!M16</f>
        <v>4</v>
      </c>
      <c r="I7" s="124">
        <f>'SDQ Period 1'!M16</f>
        <v>3</v>
      </c>
      <c r="J7" s="124">
        <f>'SDQ Period 2'!M16</f>
        <v>3</v>
      </c>
      <c r="K7" s="124">
        <f>'SDQ Period 3'!M16</f>
        <v>4</v>
      </c>
      <c r="L7" s="125">
        <f>'SDQ Period 1'!N16</f>
        <v>0</v>
      </c>
      <c r="M7" s="125">
        <f>'SDQ Period 2'!N16</f>
        <v>0</v>
      </c>
      <c r="N7" s="125">
        <f>'SDQ Period 3'!N16</f>
        <v>0</v>
      </c>
      <c r="O7" s="78" t="s">
        <v>27</v>
      </c>
      <c r="P7" s="79" t="s">
        <v>28</v>
      </c>
      <c r="Q7" s="80" t="s">
        <v>29</v>
      </c>
      <c r="R7" s="81" t="s">
        <v>30</v>
      </c>
    </row>
    <row r="8" spans="2:18" x14ac:dyDescent="0.25">
      <c r="B8" s="126" t="s">
        <v>4</v>
      </c>
      <c r="C8" s="124">
        <f>'SDQ Period 1'!K17</f>
        <v>5</v>
      </c>
      <c r="D8" s="125">
        <f>'SDQ Period 2'!K17</f>
        <v>5</v>
      </c>
      <c r="E8" s="125">
        <f>'SDQ Period 3'!K17</f>
        <v>4</v>
      </c>
      <c r="F8" s="124">
        <f>'SDQ Period 1'!L17</f>
        <v>0</v>
      </c>
      <c r="G8" s="124">
        <f>'SDQ Period 2'!L17</f>
        <v>0</v>
      </c>
      <c r="H8" s="124">
        <f>'SDQ Period 3'!M17</f>
        <v>3</v>
      </c>
      <c r="I8" s="124">
        <f>'SDQ Period 1'!M17</f>
        <v>6</v>
      </c>
      <c r="J8" s="124">
        <f>'SDQ Period 2'!M17</f>
        <v>5</v>
      </c>
      <c r="K8" s="124">
        <f>'SDQ Period 3'!M17</f>
        <v>3</v>
      </c>
      <c r="L8" s="125">
        <f>'SDQ Period 1'!N17</f>
        <v>0</v>
      </c>
      <c r="M8" s="125">
        <f>'SDQ Period 2'!N17</f>
        <v>0</v>
      </c>
      <c r="N8" s="125">
        <f>'SDQ Period 3'!N17</f>
        <v>0</v>
      </c>
      <c r="O8" s="78" t="s">
        <v>27</v>
      </c>
      <c r="P8" s="79" t="s">
        <v>28</v>
      </c>
      <c r="Q8" s="80" t="s">
        <v>32</v>
      </c>
      <c r="R8" s="81" t="s">
        <v>33</v>
      </c>
    </row>
    <row r="9" spans="2:18" x14ac:dyDescent="0.25">
      <c r="B9" s="126" t="s">
        <v>15</v>
      </c>
      <c r="C9" s="124">
        <f>'SDQ Period 1'!K18</f>
        <v>6</v>
      </c>
      <c r="D9" s="125">
        <f>'SDQ Period 2'!K18</f>
        <v>6</v>
      </c>
      <c r="E9" s="125">
        <f>'SDQ Period 3'!K18</f>
        <v>6</v>
      </c>
      <c r="F9" s="124">
        <f>'SDQ Period 1'!L18</f>
        <v>0</v>
      </c>
      <c r="G9" s="124">
        <f>'SDQ Period 2'!L18</f>
        <v>0</v>
      </c>
      <c r="H9" s="124">
        <f>'SDQ Period 3'!M18</f>
        <v>4</v>
      </c>
      <c r="I9" s="124">
        <f>'SDQ Period 1'!M18</f>
        <v>6</v>
      </c>
      <c r="J9" s="124">
        <f>'SDQ Period 2'!M18</f>
        <v>6</v>
      </c>
      <c r="K9" s="124">
        <f>'SDQ Period 3'!M18</f>
        <v>4</v>
      </c>
      <c r="L9" s="125">
        <f>'SDQ Period 1'!N18</f>
        <v>0</v>
      </c>
      <c r="M9" s="125">
        <f>'SDQ Period 2'!N18</f>
        <v>0</v>
      </c>
      <c r="N9" s="125">
        <f>'SDQ Period 3'!N18</f>
        <v>0</v>
      </c>
      <c r="O9" s="78" t="s">
        <v>35</v>
      </c>
      <c r="P9" s="79" t="s">
        <v>36</v>
      </c>
      <c r="Q9" s="80" t="s">
        <v>37</v>
      </c>
      <c r="R9" s="81" t="s">
        <v>38</v>
      </c>
    </row>
    <row r="10" spans="2:18" x14ac:dyDescent="0.25">
      <c r="B10" s="126" t="s">
        <v>40</v>
      </c>
      <c r="C10" s="124">
        <f>'SDQ Period 1'!K19</f>
        <v>21</v>
      </c>
      <c r="D10" s="125">
        <f>'SDQ Period 2'!K19</f>
        <v>20</v>
      </c>
      <c r="E10" s="125">
        <f>'SDQ Period 3'!K19</f>
        <v>19</v>
      </c>
      <c r="F10" s="124">
        <f>'SDQ Period 1'!L19</f>
        <v>0</v>
      </c>
      <c r="G10" s="124">
        <f>'SDQ Period 2'!L19</f>
        <v>0</v>
      </c>
      <c r="H10" s="124">
        <f>'SDQ Period 3'!M19</f>
        <v>15</v>
      </c>
      <c r="I10" s="124">
        <f>'SDQ Period 1'!M19</f>
        <v>21</v>
      </c>
      <c r="J10" s="124">
        <f>'SDQ Period 2'!M19</f>
        <v>20</v>
      </c>
      <c r="K10" s="124">
        <f>'SDQ Period 3'!M19</f>
        <v>15</v>
      </c>
      <c r="L10" s="125">
        <f>'SDQ Period 1'!N19</f>
        <v>0</v>
      </c>
      <c r="M10" s="125">
        <f>'SDQ Period 2'!N19</f>
        <v>0</v>
      </c>
      <c r="N10" s="125">
        <f>'SDQ Period 3'!N19</f>
        <v>0</v>
      </c>
      <c r="O10" s="78" t="s">
        <v>41</v>
      </c>
      <c r="P10" s="79" t="s">
        <v>42</v>
      </c>
      <c r="Q10" s="80" t="s">
        <v>43</v>
      </c>
      <c r="R10" s="81" t="s">
        <v>44</v>
      </c>
    </row>
    <row r="11" spans="2:18" x14ac:dyDescent="0.25">
      <c r="B11" s="126" t="s">
        <v>46</v>
      </c>
      <c r="C11" s="124">
        <f>'SDQ Period 1'!K20</f>
        <v>10</v>
      </c>
      <c r="D11" s="125">
        <f>'SDQ Period 2'!K20</f>
        <v>9</v>
      </c>
      <c r="E11" s="125">
        <f>'SDQ Period 3'!K20</f>
        <v>9</v>
      </c>
      <c r="F11" s="124">
        <f>'SDQ Period 1'!L20</f>
        <v>0</v>
      </c>
      <c r="G11" s="124">
        <f>'SDQ Period 2'!L20</f>
        <v>0</v>
      </c>
      <c r="H11" s="124">
        <f>'SDQ Period 3'!M20</f>
        <v>8</v>
      </c>
      <c r="I11" s="124">
        <f>'SDQ Period 1'!M20</f>
        <v>9</v>
      </c>
      <c r="J11" s="124">
        <f>'SDQ Period 2'!M20</f>
        <v>9</v>
      </c>
      <c r="K11" s="124">
        <f>'SDQ Period 3'!M20</f>
        <v>8</v>
      </c>
      <c r="L11" s="125">
        <f>'SDQ Period 1'!N20</f>
        <v>0</v>
      </c>
      <c r="M11" s="125">
        <f>'SDQ Period 2'!N20</f>
        <v>0</v>
      </c>
      <c r="N11" s="125">
        <f>'SDQ Period 3'!N20</f>
        <v>0</v>
      </c>
      <c r="O11" s="78" t="s">
        <v>23</v>
      </c>
      <c r="P11" s="79" t="s">
        <v>47</v>
      </c>
      <c r="Q11" s="80" t="s">
        <v>48</v>
      </c>
      <c r="R11" s="81" t="s">
        <v>49</v>
      </c>
    </row>
    <row r="12" spans="2:18" x14ac:dyDescent="0.25">
      <c r="B12" s="126" t="s">
        <v>51</v>
      </c>
      <c r="C12" s="124">
        <f>'SDQ Period 1'!K21</f>
        <v>11</v>
      </c>
      <c r="D12" s="125">
        <f>'SDQ Period 2'!K21</f>
        <v>11</v>
      </c>
      <c r="E12" s="125">
        <f>'SDQ Period 3'!K21</f>
        <v>10</v>
      </c>
      <c r="F12" s="124">
        <f>'SDQ Period 1'!L21</f>
        <v>0</v>
      </c>
      <c r="G12" s="124">
        <f>'SDQ Period 2'!L21</f>
        <v>0</v>
      </c>
      <c r="H12" s="124">
        <f>'SDQ Period 3'!M21</f>
        <v>7</v>
      </c>
      <c r="I12" s="124">
        <f>'SDQ Period 1'!M21</f>
        <v>12</v>
      </c>
      <c r="J12" s="124">
        <f>'SDQ Period 2'!M21</f>
        <v>11</v>
      </c>
      <c r="K12" s="124">
        <f>'SDQ Period 3'!M21</f>
        <v>7</v>
      </c>
      <c r="L12" s="125">
        <f>'SDQ Period 1'!N21</f>
        <v>0</v>
      </c>
      <c r="M12" s="125">
        <f>'SDQ Period 2'!N21</f>
        <v>0</v>
      </c>
      <c r="N12" s="125">
        <f>'SDQ Period 3'!N21</f>
        <v>0</v>
      </c>
      <c r="O12" s="78" t="s">
        <v>52</v>
      </c>
      <c r="P12" s="79" t="s">
        <v>48</v>
      </c>
      <c r="Q12" s="80" t="s">
        <v>53</v>
      </c>
      <c r="R12" s="81" t="s">
        <v>54</v>
      </c>
    </row>
    <row r="13" spans="2:18" x14ac:dyDescent="0.25">
      <c r="B13" s="126" t="s">
        <v>56</v>
      </c>
      <c r="C13" s="124">
        <f>'SDQ Period 1'!K22</f>
        <v>4</v>
      </c>
      <c r="D13" s="125">
        <f>'SDQ Period 2'!K22</f>
        <v>5</v>
      </c>
      <c r="E13" s="125">
        <f>'SDQ Period 3'!K22</f>
        <v>6</v>
      </c>
      <c r="F13" s="124">
        <f>'SDQ Period 1'!L22</f>
        <v>5</v>
      </c>
      <c r="G13" s="124">
        <f>'SDQ Period 2'!L22</f>
        <v>5</v>
      </c>
      <c r="H13" s="124">
        <f>'SDQ Period 3'!M22</f>
        <v>7</v>
      </c>
      <c r="I13" s="124">
        <f>'SDQ Period 1'!M22</f>
        <v>5</v>
      </c>
      <c r="J13" s="124">
        <f>'SDQ Period 2'!M22</f>
        <v>6</v>
      </c>
      <c r="K13" s="124">
        <f>'SDQ Period 3'!M22</f>
        <v>7</v>
      </c>
      <c r="L13" s="125">
        <f>'SDQ Period 1'!N22</f>
        <v>0</v>
      </c>
      <c r="M13" s="125">
        <f>'SDQ Period 2'!N22</f>
        <v>0</v>
      </c>
      <c r="N13" s="125">
        <f>'SDQ Period 3'!N22</f>
        <v>7</v>
      </c>
      <c r="O13" s="78" t="s">
        <v>23</v>
      </c>
      <c r="P13" s="79" t="s">
        <v>29</v>
      </c>
      <c r="Q13" s="80" t="s">
        <v>24</v>
      </c>
      <c r="R13" s="81" t="s">
        <v>25</v>
      </c>
    </row>
    <row r="14" spans="2:18" x14ac:dyDescent="0.25">
      <c r="B14" s="126"/>
      <c r="C14" s="124">
        <f>'SDQ Period 1'!K23</f>
        <v>0</v>
      </c>
      <c r="D14" s="125">
        <f>'SDQ Period 2'!K23</f>
        <v>0</v>
      </c>
      <c r="E14" s="125">
        <f>'SDQ Period 3'!K23</f>
        <v>0</v>
      </c>
      <c r="F14" s="124">
        <f>'SDQ Period 1'!L23</f>
        <v>0</v>
      </c>
      <c r="G14" s="124">
        <f>'SDQ Period 2'!L23</f>
        <v>0</v>
      </c>
      <c r="H14" s="124">
        <f>'SDQ Period 3'!M23</f>
        <v>0</v>
      </c>
      <c r="I14" s="124">
        <f>'SDQ Period 1'!M23</f>
        <v>0</v>
      </c>
      <c r="J14" s="124">
        <f>'SDQ Period 2'!M23</f>
        <v>0</v>
      </c>
      <c r="K14" s="124">
        <f>'SDQ Period 3'!M23</f>
        <v>0</v>
      </c>
      <c r="L14" s="125">
        <f>'SDQ Period 1'!N23</f>
        <v>0</v>
      </c>
      <c r="M14" s="125">
        <f>'SDQ Period 2'!N23</f>
        <v>0</v>
      </c>
      <c r="N14" s="125">
        <f>'SDQ Period 3'!N23</f>
        <v>0</v>
      </c>
      <c r="O14" s="82"/>
      <c r="P14" s="82"/>
      <c r="Q14" s="82"/>
      <c r="R14" s="82"/>
    </row>
    <row r="15" spans="2:18" x14ac:dyDescent="0.25">
      <c r="B15" s="126" t="s">
        <v>13</v>
      </c>
      <c r="C15" s="124">
        <f>'SDQ Period 1'!K24</f>
        <v>4</v>
      </c>
      <c r="D15" s="125">
        <f>'SDQ Period 2'!K24</f>
        <v>4</v>
      </c>
      <c r="E15" s="125">
        <f>'SDQ Period 3'!K24</f>
        <v>7</v>
      </c>
      <c r="F15" s="124">
        <f>'SDQ Period 1'!L24</f>
        <v>0</v>
      </c>
      <c r="G15" s="124">
        <f>'SDQ Period 2'!L24</f>
        <v>0</v>
      </c>
      <c r="H15" s="124">
        <f>'SDQ Period 3'!M24</f>
        <v>7</v>
      </c>
      <c r="I15" s="124">
        <f>'SDQ Period 1'!M24</f>
        <v>4</v>
      </c>
      <c r="J15" s="124">
        <f>'SDQ Period 2'!M24</f>
        <v>4</v>
      </c>
      <c r="K15" s="124">
        <f>'SDQ Period 3'!M24</f>
        <v>7</v>
      </c>
      <c r="L15" s="125">
        <f>'SDQ Period 1'!N24</f>
        <v>0</v>
      </c>
      <c r="M15" s="125">
        <f>'SDQ Period 2'!N24</f>
        <v>0</v>
      </c>
      <c r="N15" s="125">
        <f>'SDQ Period 3'!N24</f>
        <v>0</v>
      </c>
      <c r="O15" s="78" t="s">
        <v>48</v>
      </c>
      <c r="P15" s="79" t="s">
        <v>59</v>
      </c>
      <c r="Q15" s="80" t="s">
        <v>60</v>
      </c>
      <c r="R15" s="81"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defaultRowHeight="15" x14ac:dyDescent="0.25"/>
  <cols>
    <col min="2" max="2" width="21.42578125" bestFit="1" customWidth="1"/>
    <col min="3" max="4" width="18.5703125" customWidth="1"/>
    <col min="5" max="10" width="19.42578125" customWidth="1"/>
    <col min="11" max="16" width="17.140625" customWidth="1"/>
    <col min="17" max="26" width="14.7109375" customWidth="1"/>
  </cols>
  <sheetData>
    <row r="4" spans="2:30" x14ac:dyDescent="0.25">
      <c r="B4" s="126" t="s">
        <v>2</v>
      </c>
      <c r="C4" s="161" t="s">
        <v>210</v>
      </c>
      <c r="D4" s="162"/>
      <c r="E4" s="162"/>
      <c r="F4" s="162"/>
      <c r="G4" s="162"/>
      <c r="H4" s="163"/>
      <c r="I4" s="161" t="s">
        <v>212</v>
      </c>
      <c r="J4" s="162"/>
      <c r="K4" s="162"/>
      <c r="L4" s="162"/>
      <c r="M4" s="162"/>
      <c r="N4" s="163"/>
      <c r="O4" s="161" t="s">
        <v>189</v>
      </c>
      <c r="P4" s="162"/>
      <c r="Q4" s="162"/>
      <c r="R4" s="162"/>
      <c r="S4" s="162"/>
      <c r="T4" s="163"/>
      <c r="U4" s="161" t="s">
        <v>190</v>
      </c>
      <c r="V4" s="162"/>
      <c r="W4" s="162"/>
      <c r="X4" s="162"/>
      <c r="Y4" s="162"/>
      <c r="Z4" s="163"/>
      <c r="AA4" s="164" t="s">
        <v>191</v>
      </c>
      <c r="AB4" s="165"/>
      <c r="AC4" s="165"/>
      <c r="AD4" s="166"/>
    </row>
    <row r="5" spans="2:30" x14ac:dyDescent="0.25">
      <c r="B5" s="126"/>
      <c r="C5" s="127" t="s">
        <v>75</v>
      </c>
      <c r="D5" s="127" t="s">
        <v>76</v>
      </c>
      <c r="E5" s="127" t="s">
        <v>77</v>
      </c>
      <c r="F5" s="127" t="s">
        <v>79</v>
      </c>
      <c r="G5" s="127" t="s">
        <v>80</v>
      </c>
      <c r="H5" s="127" t="s">
        <v>81</v>
      </c>
      <c r="I5" s="127" t="s">
        <v>75</v>
      </c>
      <c r="J5" s="127" t="s">
        <v>76</v>
      </c>
      <c r="K5" s="127" t="s">
        <v>77</v>
      </c>
      <c r="L5" s="127" t="s">
        <v>79</v>
      </c>
      <c r="M5" s="127" t="s">
        <v>80</v>
      </c>
      <c r="N5" s="127" t="s">
        <v>81</v>
      </c>
      <c r="O5" s="127" t="s">
        <v>75</v>
      </c>
      <c r="P5" s="127" t="s">
        <v>76</v>
      </c>
      <c r="Q5" s="127" t="s">
        <v>77</v>
      </c>
      <c r="R5" s="127" t="s">
        <v>79</v>
      </c>
      <c r="S5" s="127" t="s">
        <v>80</v>
      </c>
      <c r="T5" s="127" t="s">
        <v>81</v>
      </c>
      <c r="U5" s="127" t="s">
        <v>75</v>
      </c>
      <c r="V5" s="127" t="s">
        <v>76</v>
      </c>
      <c r="W5" s="127" t="s">
        <v>77</v>
      </c>
      <c r="X5" s="127" t="s">
        <v>79</v>
      </c>
      <c r="Y5" s="127" t="s">
        <v>80</v>
      </c>
      <c r="Z5" s="127" t="s">
        <v>81</v>
      </c>
      <c r="AA5" s="167"/>
      <c r="AB5" s="168"/>
      <c r="AC5" s="168"/>
      <c r="AD5" s="169"/>
    </row>
    <row r="6" spans="2:30" x14ac:dyDescent="0.25">
      <c r="B6" s="126" t="s">
        <v>3</v>
      </c>
      <c r="C6" s="124">
        <f>'SDQ Period 1'!K15</f>
        <v>6</v>
      </c>
      <c r="D6" s="125">
        <f>'SDQ Period 2'!K15</f>
        <v>6</v>
      </c>
      <c r="E6" s="125">
        <f>'SDQ Period 3'!K15</f>
        <v>5</v>
      </c>
      <c r="F6" s="125">
        <f>'SDQ Period 4'!K15</f>
        <v>5</v>
      </c>
      <c r="G6" s="125">
        <f>'SDQ Period 5'!K15</f>
        <v>0</v>
      </c>
      <c r="H6" s="125">
        <f>'SDQ Period 6'!K15</f>
        <v>0</v>
      </c>
      <c r="I6" s="124">
        <f>'SDQ Period 1'!L15</f>
        <v>0</v>
      </c>
      <c r="J6" s="124">
        <f>'SDQ Period 2'!L15</f>
        <v>0</v>
      </c>
      <c r="K6" s="124">
        <f>'SDQ Period 3'!L15</f>
        <v>0</v>
      </c>
      <c r="L6" s="124">
        <f>'SDQ Period 4'!L15</f>
        <v>0</v>
      </c>
      <c r="M6" s="124">
        <f>'SDQ Period 5'!L15</f>
        <v>0</v>
      </c>
      <c r="N6" s="124">
        <f>'SDQ Period 6'!L15</f>
        <v>0</v>
      </c>
      <c r="O6" s="124">
        <f>'SDQ Period 1'!G15</f>
        <v>0</v>
      </c>
      <c r="P6" s="124">
        <f>'SDQ Period 2'!G15</f>
        <v>0</v>
      </c>
      <c r="Q6" s="124">
        <f>'SDQ Period 3'!G15</f>
        <v>0</v>
      </c>
      <c r="R6" s="124">
        <f>'SDQ Period 4'!N15</f>
        <v>0</v>
      </c>
      <c r="S6" s="124">
        <f>'SDQ Period 5'!N15</f>
        <v>0</v>
      </c>
      <c r="T6" s="124">
        <f>'SDQ Period 6'!N15</f>
        <v>0</v>
      </c>
      <c r="U6" s="125">
        <f>'SDQ Period 1'!N15</f>
        <v>0</v>
      </c>
      <c r="V6" s="125">
        <f>'SDQ Period 3'!N15</f>
        <v>0</v>
      </c>
      <c r="W6" s="125">
        <f>'SDQ Period 3'!N15</f>
        <v>0</v>
      </c>
      <c r="X6" s="125">
        <f>'SDQ Period 4'!N15</f>
        <v>0</v>
      </c>
      <c r="Y6" s="125">
        <f>'SDQ Period 5'!N15</f>
        <v>0</v>
      </c>
      <c r="Z6" s="125">
        <f>'SDQ Period 6'!N15</f>
        <v>0</v>
      </c>
      <c r="AA6" s="78" t="s">
        <v>23</v>
      </c>
      <c r="AB6" s="79">
        <v>4</v>
      </c>
      <c r="AC6" s="80" t="s">
        <v>24</v>
      </c>
      <c r="AD6" s="81" t="s">
        <v>25</v>
      </c>
    </row>
    <row r="7" spans="2:30" x14ac:dyDescent="0.25">
      <c r="B7" s="126" t="s">
        <v>5</v>
      </c>
      <c r="C7" s="124">
        <f>'SDQ Period 1'!K16</f>
        <v>4</v>
      </c>
      <c r="D7" s="125">
        <f>'SDQ Period 2'!K16</f>
        <v>3</v>
      </c>
      <c r="E7" s="125">
        <f>'SDQ Period 3'!K16</f>
        <v>4</v>
      </c>
      <c r="F7" s="125">
        <f>'SDQ Period 4'!K16</f>
        <v>4</v>
      </c>
      <c r="G7" s="125">
        <f>'SDQ Period 5'!K16</f>
        <v>0</v>
      </c>
      <c r="H7" s="125">
        <f>'SDQ Period 6'!K16</f>
        <v>0</v>
      </c>
      <c r="I7" s="124">
        <f>'SDQ Period 1'!L16</f>
        <v>0</v>
      </c>
      <c r="J7" s="124">
        <f>'SDQ Period 2'!L16</f>
        <v>0</v>
      </c>
      <c r="K7" s="124">
        <f>'SDQ Period 3'!L16</f>
        <v>0</v>
      </c>
      <c r="L7" s="124">
        <f>'SDQ Period 4'!L16</f>
        <v>0</v>
      </c>
      <c r="M7" s="124">
        <f>'SDQ Period 5'!L16</f>
        <v>0</v>
      </c>
      <c r="N7" s="124">
        <f>'SDQ Period 6'!L16</f>
        <v>0</v>
      </c>
      <c r="O7" s="124">
        <f>'SDQ Period 1'!G16</f>
        <v>0</v>
      </c>
      <c r="P7" s="124">
        <f>'SDQ Period 2'!G16</f>
        <v>0</v>
      </c>
      <c r="Q7" s="124">
        <f>'SDQ Period 3'!G16</f>
        <v>0</v>
      </c>
      <c r="R7" s="124">
        <f>'SDQ Period 4'!N16</f>
        <v>0</v>
      </c>
      <c r="S7" s="124">
        <f>'SDQ Period 5'!N16</f>
        <v>0</v>
      </c>
      <c r="T7" s="124">
        <f>'SDQ Period 6'!N16</f>
        <v>0</v>
      </c>
      <c r="U7" s="125">
        <f>'SDQ Period 1'!N16</f>
        <v>0</v>
      </c>
      <c r="V7" s="125">
        <f>'SDQ Period 3'!N16</f>
        <v>0</v>
      </c>
      <c r="W7" s="125">
        <f>'SDQ Period 3'!N16</f>
        <v>0</v>
      </c>
      <c r="X7" s="125">
        <f>'SDQ Period 4'!N16</f>
        <v>0</v>
      </c>
      <c r="Y7" s="125">
        <f>'SDQ Period 5'!N16</f>
        <v>0</v>
      </c>
      <c r="Z7" s="125">
        <f>'SDQ Period 6'!N16</f>
        <v>0</v>
      </c>
      <c r="AA7" s="78" t="s">
        <v>27</v>
      </c>
      <c r="AB7" s="79" t="s">
        <v>28</v>
      </c>
      <c r="AC7" s="80" t="s">
        <v>29</v>
      </c>
      <c r="AD7" s="81" t="s">
        <v>30</v>
      </c>
    </row>
    <row r="8" spans="2:30" x14ac:dyDescent="0.25">
      <c r="B8" s="126" t="s">
        <v>4</v>
      </c>
      <c r="C8" s="124">
        <f>'SDQ Period 1'!K17</f>
        <v>5</v>
      </c>
      <c r="D8" s="125">
        <f>'SDQ Period 2'!K17</f>
        <v>5</v>
      </c>
      <c r="E8" s="125">
        <f>'SDQ Period 3'!K17</f>
        <v>4</v>
      </c>
      <c r="F8" s="125">
        <f>'SDQ Period 4'!K17</f>
        <v>4</v>
      </c>
      <c r="G8" s="125">
        <f>'SDQ Period 5'!K17</f>
        <v>0</v>
      </c>
      <c r="H8" s="125">
        <f>'SDQ Period 6'!K17</f>
        <v>0</v>
      </c>
      <c r="I8" s="124">
        <f>'SDQ Period 1'!L17</f>
        <v>0</v>
      </c>
      <c r="J8" s="124">
        <f>'SDQ Period 2'!L17</f>
        <v>0</v>
      </c>
      <c r="K8" s="124">
        <f>'SDQ Period 3'!L17</f>
        <v>0</v>
      </c>
      <c r="L8" s="124">
        <f>'SDQ Period 4'!L17</f>
        <v>0</v>
      </c>
      <c r="M8" s="124">
        <f>'SDQ Period 5'!L17</f>
        <v>0</v>
      </c>
      <c r="N8" s="124">
        <f>'SDQ Period 6'!L17</f>
        <v>0</v>
      </c>
      <c r="O8" s="124">
        <f>'SDQ Period 1'!G17</f>
        <v>0</v>
      </c>
      <c r="P8" s="124">
        <f>'SDQ Period 2'!G17</f>
        <v>0</v>
      </c>
      <c r="Q8" s="124">
        <f>'SDQ Period 3'!G17</f>
        <v>2</v>
      </c>
      <c r="R8" s="124">
        <f>'SDQ Period 4'!N17</f>
        <v>0</v>
      </c>
      <c r="S8" s="124">
        <f>'SDQ Period 5'!N17</f>
        <v>0</v>
      </c>
      <c r="T8" s="124">
        <f>'SDQ Period 6'!N17</f>
        <v>0</v>
      </c>
      <c r="U8" s="125">
        <f>'SDQ Period 1'!N17</f>
        <v>0</v>
      </c>
      <c r="V8" s="125">
        <f>'SDQ Period 3'!N17</f>
        <v>0</v>
      </c>
      <c r="W8" s="125">
        <f>'SDQ Period 3'!N17</f>
        <v>0</v>
      </c>
      <c r="X8" s="125">
        <f>'SDQ Period 4'!N17</f>
        <v>0</v>
      </c>
      <c r="Y8" s="125">
        <f>'SDQ Period 5'!N17</f>
        <v>0</v>
      </c>
      <c r="Z8" s="125">
        <f>'SDQ Period 6'!N17</f>
        <v>0</v>
      </c>
      <c r="AA8" s="78" t="s">
        <v>27</v>
      </c>
      <c r="AB8" s="79" t="s">
        <v>28</v>
      </c>
      <c r="AC8" s="80" t="s">
        <v>32</v>
      </c>
      <c r="AD8" s="81" t="s">
        <v>33</v>
      </c>
    </row>
    <row r="9" spans="2:30" x14ac:dyDescent="0.25">
      <c r="B9" s="126" t="s">
        <v>15</v>
      </c>
      <c r="C9" s="124">
        <f>'SDQ Period 1'!K18</f>
        <v>6</v>
      </c>
      <c r="D9" s="125">
        <f>'SDQ Period 2'!K18</f>
        <v>6</v>
      </c>
      <c r="E9" s="125">
        <f>'SDQ Period 3'!K18</f>
        <v>6</v>
      </c>
      <c r="F9" s="125">
        <f>'SDQ Period 4'!K18</f>
        <v>6</v>
      </c>
      <c r="G9" s="125">
        <f>'SDQ Period 5'!K18</f>
        <v>0</v>
      </c>
      <c r="H9" s="125">
        <f>'SDQ Period 6'!K18</f>
        <v>0</v>
      </c>
      <c r="I9" s="124">
        <f>'SDQ Period 1'!L18</f>
        <v>0</v>
      </c>
      <c r="J9" s="124">
        <f>'SDQ Period 2'!L18</f>
        <v>0</v>
      </c>
      <c r="K9" s="124">
        <f>'SDQ Period 3'!L18</f>
        <v>0</v>
      </c>
      <c r="L9" s="124">
        <f>'SDQ Period 4'!L18</f>
        <v>0</v>
      </c>
      <c r="M9" s="124">
        <f>'SDQ Period 5'!L18</f>
        <v>0</v>
      </c>
      <c r="N9" s="124">
        <f>'SDQ Period 6'!L18</f>
        <v>0</v>
      </c>
      <c r="O9" s="124">
        <f>'SDQ Period 1'!G18</f>
        <v>0</v>
      </c>
      <c r="P9" s="124">
        <f>'SDQ Period 2'!G18</f>
        <v>0</v>
      </c>
      <c r="Q9" s="124">
        <f>'SDQ Period 3'!G18</f>
        <v>0</v>
      </c>
      <c r="R9" s="124">
        <f>'SDQ Period 4'!N18</f>
        <v>0</v>
      </c>
      <c r="S9" s="124">
        <f>'SDQ Period 5'!N18</f>
        <v>0</v>
      </c>
      <c r="T9" s="124">
        <f>'SDQ Period 6'!N18</f>
        <v>0</v>
      </c>
      <c r="U9" s="125">
        <f>'SDQ Period 1'!N18</f>
        <v>0</v>
      </c>
      <c r="V9" s="125">
        <f>'SDQ Period 3'!N18</f>
        <v>0</v>
      </c>
      <c r="W9" s="125">
        <f>'SDQ Period 3'!N18</f>
        <v>0</v>
      </c>
      <c r="X9" s="125">
        <f>'SDQ Period 4'!N18</f>
        <v>0</v>
      </c>
      <c r="Y9" s="125">
        <f>'SDQ Period 5'!N18</f>
        <v>0</v>
      </c>
      <c r="Z9" s="125">
        <f>'SDQ Period 6'!N18</f>
        <v>0</v>
      </c>
      <c r="AA9" s="78" t="s">
        <v>35</v>
      </c>
      <c r="AB9" s="79" t="s">
        <v>36</v>
      </c>
      <c r="AC9" s="80" t="s">
        <v>37</v>
      </c>
      <c r="AD9" s="81" t="s">
        <v>38</v>
      </c>
    </row>
    <row r="10" spans="2:30"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1'!L19</f>
        <v>0</v>
      </c>
      <c r="J10" s="124">
        <f>'SDQ Period 2'!L19</f>
        <v>0</v>
      </c>
      <c r="K10" s="124">
        <f>'SDQ Period 3'!L19</f>
        <v>0</v>
      </c>
      <c r="L10" s="124">
        <f>'SDQ Period 4'!L19</f>
        <v>0</v>
      </c>
      <c r="M10" s="124">
        <f>'SDQ Period 5'!L19</f>
        <v>0</v>
      </c>
      <c r="N10" s="124">
        <f>'SDQ Period 6'!L19</f>
        <v>0</v>
      </c>
      <c r="O10" s="124">
        <f>'SDQ Period 1'!G19</f>
        <v>2</v>
      </c>
      <c r="P10" s="124">
        <f>'SDQ Period 2'!G19</f>
        <v>2</v>
      </c>
      <c r="Q10" s="124">
        <f>'SDQ Period 3'!G19</f>
        <v>2</v>
      </c>
      <c r="R10" s="124">
        <f>'SDQ Period 4'!N19</f>
        <v>0</v>
      </c>
      <c r="S10" s="124">
        <f>'SDQ Period 5'!N19</f>
        <v>0</v>
      </c>
      <c r="T10" s="124">
        <f>'SDQ Period 6'!N19</f>
        <v>0</v>
      </c>
      <c r="U10" s="125">
        <f>'SDQ Period 1'!N19</f>
        <v>0</v>
      </c>
      <c r="V10" s="125">
        <f>'SDQ Period 3'!N19</f>
        <v>0</v>
      </c>
      <c r="W10" s="125">
        <f>'SDQ Period 3'!N19</f>
        <v>0</v>
      </c>
      <c r="X10" s="125">
        <f>'SDQ Period 4'!N19</f>
        <v>0</v>
      </c>
      <c r="Y10" s="125">
        <f>'SDQ Period 5'!N19</f>
        <v>0</v>
      </c>
      <c r="Z10" s="125">
        <f>'SDQ Period 6'!N19</f>
        <v>0</v>
      </c>
      <c r="AA10" s="78" t="s">
        <v>41</v>
      </c>
      <c r="AB10" s="79" t="s">
        <v>42</v>
      </c>
      <c r="AC10" s="80" t="s">
        <v>43</v>
      </c>
      <c r="AD10" s="81" t="s">
        <v>44</v>
      </c>
    </row>
    <row r="11" spans="2:30"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1'!L20</f>
        <v>0</v>
      </c>
      <c r="J11" s="124">
        <f>'SDQ Period 2'!L20</f>
        <v>0</v>
      </c>
      <c r="K11" s="124">
        <f>'SDQ Period 3'!L20</f>
        <v>0</v>
      </c>
      <c r="L11" s="124">
        <f>'SDQ Period 4'!L20</f>
        <v>0</v>
      </c>
      <c r="M11" s="124">
        <f>'SDQ Period 5'!L20</f>
        <v>0</v>
      </c>
      <c r="N11" s="124">
        <f>'SDQ Period 6'!L20</f>
        <v>0</v>
      </c>
      <c r="O11" s="124">
        <f>'SDQ Period 1'!G20</f>
        <v>2</v>
      </c>
      <c r="P11" s="124">
        <f>'SDQ Period 2'!G20</f>
        <v>2</v>
      </c>
      <c r="Q11" s="124">
        <f>'SDQ Period 3'!G20</f>
        <v>2</v>
      </c>
      <c r="R11" s="124">
        <f>'SDQ Period 4'!N20</f>
        <v>0</v>
      </c>
      <c r="S11" s="124">
        <f>'SDQ Period 5'!N20</f>
        <v>0</v>
      </c>
      <c r="T11" s="124">
        <f>'SDQ Period 6'!N20</f>
        <v>0</v>
      </c>
      <c r="U11" s="125">
        <f>'SDQ Period 1'!N20</f>
        <v>0</v>
      </c>
      <c r="V11" s="125">
        <f>'SDQ Period 3'!N20</f>
        <v>0</v>
      </c>
      <c r="W11" s="125">
        <f>'SDQ Period 3'!N20</f>
        <v>0</v>
      </c>
      <c r="X11" s="125">
        <f>'SDQ Period 4'!N20</f>
        <v>0</v>
      </c>
      <c r="Y11" s="125">
        <f>'SDQ Period 5'!N20</f>
        <v>0</v>
      </c>
      <c r="Z11" s="125">
        <f>'SDQ Period 6'!N20</f>
        <v>0</v>
      </c>
      <c r="AA11" s="78" t="s">
        <v>23</v>
      </c>
      <c r="AB11" s="79" t="s">
        <v>47</v>
      </c>
      <c r="AC11" s="80" t="s">
        <v>48</v>
      </c>
      <c r="AD11" s="81" t="s">
        <v>49</v>
      </c>
    </row>
    <row r="12" spans="2:30"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1'!L21</f>
        <v>0</v>
      </c>
      <c r="J12" s="124">
        <f>'SDQ Period 2'!L21</f>
        <v>0</v>
      </c>
      <c r="K12" s="124">
        <f>'SDQ Period 3'!L21</f>
        <v>0</v>
      </c>
      <c r="L12" s="124">
        <f>'SDQ Period 4'!L21</f>
        <v>0</v>
      </c>
      <c r="M12" s="124">
        <f>'SDQ Period 5'!L21</f>
        <v>0</v>
      </c>
      <c r="N12" s="124">
        <f>'SDQ Period 6'!L21</f>
        <v>0</v>
      </c>
      <c r="O12" s="124">
        <f>'SDQ Period 1'!G21</f>
        <v>2</v>
      </c>
      <c r="P12" s="124">
        <f>'SDQ Period 2'!G21</f>
        <v>2</v>
      </c>
      <c r="Q12" s="124">
        <f>'SDQ Period 3'!G21</f>
        <v>2</v>
      </c>
      <c r="R12" s="124">
        <f>'SDQ Period 4'!N21</f>
        <v>0</v>
      </c>
      <c r="S12" s="124">
        <f>'SDQ Period 5'!N21</f>
        <v>0</v>
      </c>
      <c r="T12" s="124">
        <f>'SDQ Period 6'!N21</f>
        <v>0</v>
      </c>
      <c r="U12" s="125">
        <f>'SDQ Period 1'!N21</f>
        <v>0</v>
      </c>
      <c r="V12" s="125">
        <f>'SDQ Period 3'!N21</f>
        <v>0</v>
      </c>
      <c r="W12" s="125">
        <f>'SDQ Period 3'!N21</f>
        <v>0</v>
      </c>
      <c r="X12" s="125">
        <f>'SDQ Period 4'!N21</f>
        <v>0</v>
      </c>
      <c r="Y12" s="125">
        <f>'SDQ Period 5'!N21</f>
        <v>0</v>
      </c>
      <c r="Z12" s="125">
        <f>'SDQ Period 6'!N21</f>
        <v>0</v>
      </c>
      <c r="AA12" s="78" t="s">
        <v>52</v>
      </c>
      <c r="AB12" s="79" t="s">
        <v>48</v>
      </c>
      <c r="AC12" s="80" t="s">
        <v>53</v>
      </c>
      <c r="AD12" s="81" t="s">
        <v>54</v>
      </c>
    </row>
    <row r="13" spans="2:30"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1'!L22</f>
        <v>5</v>
      </c>
      <c r="J13" s="124">
        <f>'SDQ Period 2'!L22</f>
        <v>5</v>
      </c>
      <c r="K13" s="124">
        <f>'SDQ Period 3'!L22</f>
        <v>6</v>
      </c>
      <c r="L13" s="124">
        <f>'SDQ Period 4'!L22</f>
        <v>6</v>
      </c>
      <c r="M13" s="124">
        <f>'SDQ Period 5'!L22</f>
        <v>0</v>
      </c>
      <c r="N13" s="124">
        <f>'SDQ Period 6'!L22</f>
        <v>0</v>
      </c>
      <c r="O13" s="124">
        <f>'SDQ Period 1'!G22</f>
        <v>0</v>
      </c>
      <c r="P13" s="124">
        <f>'SDQ Period 2'!G22</f>
        <v>0</v>
      </c>
      <c r="Q13" s="124">
        <f>'SDQ Period 3'!G22</f>
        <v>0</v>
      </c>
      <c r="R13" s="124">
        <f>'SDQ Period 4'!N22</f>
        <v>7</v>
      </c>
      <c r="S13" s="124">
        <f>'SDQ Period 5'!N22</f>
        <v>0</v>
      </c>
      <c r="T13" s="124">
        <f>'SDQ Period 6'!N22</f>
        <v>0</v>
      </c>
      <c r="U13" s="125">
        <f>'SDQ Period 1'!N22</f>
        <v>0</v>
      </c>
      <c r="V13" s="125">
        <f>'SDQ Period 3'!N22</f>
        <v>7</v>
      </c>
      <c r="W13" s="125">
        <f>'SDQ Period 3'!N22</f>
        <v>7</v>
      </c>
      <c r="X13" s="125">
        <f>'SDQ Period 4'!N22</f>
        <v>7</v>
      </c>
      <c r="Y13" s="125">
        <f>'SDQ Period 5'!N22</f>
        <v>0</v>
      </c>
      <c r="Z13" s="125">
        <f>'SDQ Period 6'!N22</f>
        <v>0</v>
      </c>
      <c r="AA13" s="78" t="s">
        <v>23</v>
      </c>
      <c r="AB13" s="79" t="s">
        <v>29</v>
      </c>
      <c r="AC13" s="80" t="s">
        <v>24</v>
      </c>
      <c r="AD13" s="81" t="s">
        <v>25</v>
      </c>
    </row>
    <row r="14" spans="2:30" x14ac:dyDescent="0.25">
      <c r="B14" s="126"/>
      <c r="C14" s="124">
        <f>'SDQ Period 1'!K23</f>
        <v>0</v>
      </c>
      <c r="D14" s="125">
        <f>'SDQ Period 2'!K23</f>
        <v>0</v>
      </c>
      <c r="E14" s="125">
        <f>'SDQ Period 3'!K23</f>
        <v>0</v>
      </c>
      <c r="F14" s="125">
        <f>'SDQ Period 4'!K23</f>
        <v>0</v>
      </c>
      <c r="G14" s="125">
        <f>'SDQ Period 5'!K23</f>
        <v>0</v>
      </c>
      <c r="H14" s="125">
        <f>'SDQ Period 6'!K23</f>
        <v>0</v>
      </c>
      <c r="I14" s="124">
        <f>'SDQ Period 1'!L23</f>
        <v>0</v>
      </c>
      <c r="J14" s="124">
        <f>'SDQ Period 2'!L23</f>
        <v>0</v>
      </c>
      <c r="K14" s="124">
        <f>'SDQ Period 3'!L23</f>
        <v>0</v>
      </c>
      <c r="L14" s="124">
        <f>'SDQ Period 4'!L23</f>
        <v>0</v>
      </c>
      <c r="M14" s="124">
        <f>'SDQ Period 5'!L23</f>
        <v>0</v>
      </c>
      <c r="N14" s="124">
        <f>'SDQ Period 6'!L23</f>
        <v>0</v>
      </c>
      <c r="O14" s="124">
        <f>'SDQ Period 1'!G23</f>
        <v>2</v>
      </c>
      <c r="P14" s="124">
        <f>'SDQ Period 2'!G23</f>
        <v>2</v>
      </c>
      <c r="Q14" s="124">
        <f>'SDQ Period 3'!G23</f>
        <v>0</v>
      </c>
      <c r="R14" s="124">
        <f>'SDQ Period 4'!N23</f>
        <v>0</v>
      </c>
      <c r="S14" s="124">
        <f>'SDQ Period 5'!N23</f>
        <v>0</v>
      </c>
      <c r="T14" s="124">
        <f>'SDQ Period 6'!N23</f>
        <v>0</v>
      </c>
      <c r="U14" s="125">
        <f>'SDQ Period 1'!N23</f>
        <v>0</v>
      </c>
      <c r="V14" s="125">
        <f>'SDQ Period 3'!N23</f>
        <v>0</v>
      </c>
      <c r="W14" s="125">
        <f>'SDQ Period 3'!N23</f>
        <v>0</v>
      </c>
      <c r="X14" s="125">
        <f>'SDQ Period 4'!N23</f>
        <v>0</v>
      </c>
      <c r="Y14" s="125">
        <f>'SDQ Period 5'!N23</f>
        <v>0</v>
      </c>
      <c r="Z14" s="125">
        <f>'SDQ Period 6'!N23</f>
        <v>0</v>
      </c>
      <c r="AA14" s="82"/>
      <c r="AB14" s="82"/>
      <c r="AC14" s="82"/>
      <c r="AD14" s="82"/>
    </row>
    <row r="15" spans="2:30"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1'!L24</f>
        <v>0</v>
      </c>
      <c r="J15" s="124">
        <f>'SDQ Period 2'!L24</f>
        <v>0</v>
      </c>
      <c r="K15" s="124">
        <f>'SDQ Period 3'!L24</f>
        <v>0</v>
      </c>
      <c r="L15" s="124">
        <f>'SDQ Period 4'!L24</f>
        <v>0</v>
      </c>
      <c r="M15" s="124">
        <f>'SDQ Period 5'!L24</f>
        <v>0</v>
      </c>
      <c r="N15" s="124">
        <f>'SDQ Period 6'!L24</f>
        <v>0</v>
      </c>
      <c r="O15" s="124">
        <f>'SDQ Period 1'!G24</f>
        <v>2</v>
      </c>
      <c r="P15" s="124">
        <f>'SDQ Period 2'!G24</f>
        <v>2</v>
      </c>
      <c r="Q15" s="124">
        <f>'SDQ Period 3'!G24</f>
        <v>0</v>
      </c>
      <c r="R15" s="124">
        <f>'SDQ Period 4'!N24</f>
        <v>0</v>
      </c>
      <c r="S15" s="124">
        <f>'SDQ Period 5'!N24</f>
        <v>0</v>
      </c>
      <c r="T15" s="124">
        <f>'SDQ Period 6'!N24</f>
        <v>0</v>
      </c>
      <c r="U15" s="125">
        <f>'SDQ Period 1'!N24</f>
        <v>0</v>
      </c>
      <c r="V15" s="125">
        <f>'SDQ Period 3'!N24</f>
        <v>0</v>
      </c>
      <c r="W15" s="125">
        <f>'SDQ Period 3'!N24</f>
        <v>0</v>
      </c>
      <c r="X15" s="125">
        <f>'SDQ Period 4'!N24</f>
        <v>0</v>
      </c>
      <c r="Y15" s="125">
        <f>'SDQ Period 5'!N24</f>
        <v>0</v>
      </c>
      <c r="Z15" s="125">
        <f>'SDQ Period 6'!N24</f>
        <v>0</v>
      </c>
      <c r="AA15" s="78" t="s">
        <v>48</v>
      </c>
      <c r="AB15" s="79" t="s">
        <v>59</v>
      </c>
      <c r="AC15" s="80" t="s">
        <v>60</v>
      </c>
      <c r="AD15" s="81"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defaultRowHeight="15" x14ac:dyDescent="0.25"/>
  <cols>
    <col min="2" max="2" width="21.42578125" bestFit="1" customWidth="1"/>
    <col min="3" max="4" width="18.5703125" customWidth="1"/>
    <col min="5" max="13" width="19.42578125" customWidth="1"/>
    <col min="14" max="22" width="17.140625" customWidth="1"/>
    <col min="23" max="38" width="14.7109375" customWidth="1"/>
  </cols>
  <sheetData>
    <row r="4" spans="2:42" x14ac:dyDescent="0.25">
      <c r="B4" s="126" t="s">
        <v>2</v>
      </c>
      <c r="C4" s="161" t="s">
        <v>210</v>
      </c>
      <c r="D4" s="162"/>
      <c r="E4" s="162"/>
      <c r="F4" s="162"/>
      <c r="G4" s="162"/>
      <c r="H4" s="162"/>
      <c r="I4" s="162"/>
      <c r="J4" s="162"/>
      <c r="K4" s="163"/>
      <c r="L4" s="161" t="s">
        <v>212</v>
      </c>
      <c r="M4" s="162"/>
      <c r="N4" s="162"/>
      <c r="O4" s="162"/>
      <c r="P4" s="162"/>
      <c r="Q4" s="162"/>
      <c r="R4" s="162"/>
      <c r="S4" s="162"/>
      <c r="T4" s="163"/>
      <c r="U4" s="161" t="s">
        <v>189</v>
      </c>
      <c r="V4" s="162"/>
      <c r="W4" s="162"/>
      <c r="X4" s="162"/>
      <c r="Y4" s="162"/>
      <c r="Z4" s="162"/>
      <c r="AA4" s="162"/>
      <c r="AB4" s="162"/>
      <c r="AC4" s="163"/>
      <c r="AD4" s="161" t="s">
        <v>190</v>
      </c>
      <c r="AE4" s="162"/>
      <c r="AF4" s="162"/>
      <c r="AG4" s="162"/>
      <c r="AH4" s="162"/>
      <c r="AI4" s="162"/>
      <c r="AJ4" s="162"/>
      <c r="AK4" s="162"/>
      <c r="AL4" s="163"/>
      <c r="AM4" s="164" t="s">
        <v>191</v>
      </c>
      <c r="AN4" s="165"/>
      <c r="AO4" s="165"/>
      <c r="AP4" s="166"/>
    </row>
    <row r="5" spans="2:42" x14ac:dyDescent="0.25">
      <c r="B5" s="126"/>
      <c r="C5" s="127" t="s">
        <v>75</v>
      </c>
      <c r="D5" s="127" t="s">
        <v>76</v>
      </c>
      <c r="E5" s="127" t="s">
        <v>77</v>
      </c>
      <c r="F5" s="127" t="s">
        <v>79</v>
      </c>
      <c r="G5" s="127" t="s">
        <v>80</v>
      </c>
      <c r="H5" s="127" t="s">
        <v>81</v>
      </c>
      <c r="I5" s="127" t="s">
        <v>82</v>
      </c>
      <c r="J5" s="127" t="s">
        <v>83</v>
      </c>
      <c r="K5" s="127" t="s">
        <v>84</v>
      </c>
      <c r="L5" s="127" t="s">
        <v>75</v>
      </c>
      <c r="M5" s="127" t="s">
        <v>76</v>
      </c>
      <c r="N5" s="127" t="s">
        <v>77</v>
      </c>
      <c r="O5" s="127" t="s">
        <v>79</v>
      </c>
      <c r="P5" s="127" t="s">
        <v>80</v>
      </c>
      <c r="Q5" s="127" t="s">
        <v>81</v>
      </c>
      <c r="R5" s="127" t="s">
        <v>82</v>
      </c>
      <c r="S5" s="127" t="s">
        <v>83</v>
      </c>
      <c r="T5" s="127" t="s">
        <v>84</v>
      </c>
      <c r="U5" s="127" t="s">
        <v>75</v>
      </c>
      <c r="V5" s="127" t="s">
        <v>76</v>
      </c>
      <c r="W5" s="127" t="s">
        <v>77</v>
      </c>
      <c r="X5" s="127" t="s">
        <v>79</v>
      </c>
      <c r="Y5" s="127" t="s">
        <v>80</v>
      </c>
      <c r="Z5" s="127" t="s">
        <v>81</v>
      </c>
      <c r="AA5" s="127" t="s">
        <v>82</v>
      </c>
      <c r="AB5" s="127" t="s">
        <v>83</v>
      </c>
      <c r="AC5" s="127" t="s">
        <v>84</v>
      </c>
      <c r="AD5" s="127" t="s">
        <v>75</v>
      </c>
      <c r="AE5" s="127" t="s">
        <v>76</v>
      </c>
      <c r="AF5" s="127" t="s">
        <v>77</v>
      </c>
      <c r="AG5" s="127" t="s">
        <v>79</v>
      </c>
      <c r="AH5" s="127" t="s">
        <v>80</v>
      </c>
      <c r="AI5" s="127" t="s">
        <v>81</v>
      </c>
      <c r="AJ5" s="127" t="s">
        <v>82</v>
      </c>
      <c r="AK5" s="127" t="s">
        <v>83</v>
      </c>
      <c r="AL5" s="127" t="s">
        <v>84</v>
      </c>
      <c r="AM5" s="167"/>
      <c r="AN5" s="168"/>
      <c r="AO5" s="168"/>
      <c r="AP5" s="169"/>
    </row>
    <row r="6" spans="2:42" x14ac:dyDescent="0.25">
      <c r="B6" s="126" t="s">
        <v>3</v>
      </c>
      <c r="C6" s="124">
        <f>'SDQ Period 1'!K15</f>
        <v>6</v>
      </c>
      <c r="D6" s="125">
        <f>'SDQ Period 2'!K15</f>
        <v>6</v>
      </c>
      <c r="E6" s="125">
        <f>'SDQ Period 3'!K15</f>
        <v>5</v>
      </c>
      <c r="F6" s="125">
        <f>'SDQ Period 4'!K15</f>
        <v>5</v>
      </c>
      <c r="G6" s="125">
        <f>'SDQ Period 5'!K15</f>
        <v>0</v>
      </c>
      <c r="H6" s="125">
        <f>'SDQ Period 6'!K15</f>
        <v>0</v>
      </c>
      <c r="I6" s="124">
        <f>'SDQ Period 7'!K15</f>
        <v>0</v>
      </c>
      <c r="J6" s="124">
        <f>'SDQ Period 8'!K15</f>
        <v>0</v>
      </c>
      <c r="K6" s="124">
        <f>'SDQ Period 9'!K15</f>
        <v>0</v>
      </c>
      <c r="L6" s="124">
        <f>'SDQ Period 1'!L15</f>
        <v>0</v>
      </c>
      <c r="M6" s="124">
        <f>'SDQ Period 2'!L15</f>
        <v>0</v>
      </c>
      <c r="N6" s="124">
        <f>'SDQ Period 3'!L15</f>
        <v>0</v>
      </c>
      <c r="O6" s="124">
        <f>'SDQ Period 4'!L15</f>
        <v>0</v>
      </c>
      <c r="P6" s="124">
        <f>'SDQ Period 5'!L15</f>
        <v>0</v>
      </c>
      <c r="Q6" s="124">
        <f>'SDQ Period 6'!L15</f>
        <v>0</v>
      </c>
      <c r="R6" s="124">
        <f>'SDQ Period 7'!L15</f>
        <v>0</v>
      </c>
      <c r="S6" s="124">
        <f>'SDQ Period 8'!L15</f>
        <v>0</v>
      </c>
      <c r="T6" s="124">
        <f>'SDQ Period 9'!L15</f>
        <v>0</v>
      </c>
      <c r="U6" s="124">
        <f>'SDQ Period 1'!M15</f>
        <v>6</v>
      </c>
      <c r="V6" s="124">
        <f>'SDQ Period 2'!M15</f>
        <v>6</v>
      </c>
      <c r="W6" s="124">
        <f>'SDQ Period 3'!M15</f>
        <v>4</v>
      </c>
      <c r="X6" s="124">
        <f>'SDQ Period 4'!M15</f>
        <v>4</v>
      </c>
      <c r="Y6" s="124">
        <f>'SDQ Period 5'!M15</f>
        <v>0</v>
      </c>
      <c r="Z6" s="124">
        <f>'SDQ Period 6'!M15</f>
        <v>0</v>
      </c>
      <c r="AA6" s="124">
        <f>'SDQ Period 7'!M15</f>
        <v>0</v>
      </c>
      <c r="AB6" s="124">
        <f>'SDQ Period 8'!M15</f>
        <v>0</v>
      </c>
      <c r="AC6" s="124">
        <f>'SDQ Period 9'!M15</f>
        <v>0</v>
      </c>
      <c r="AD6" s="125">
        <f>'SDQ Period 1'!N15</f>
        <v>0</v>
      </c>
      <c r="AE6" s="125">
        <f>'SDQ Period 2'!N15</f>
        <v>0</v>
      </c>
      <c r="AF6" s="125">
        <f>'SDQ Period 3'!N15</f>
        <v>0</v>
      </c>
      <c r="AG6" s="125">
        <f>'SDQ Period 4'!N15</f>
        <v>0</v>
      </c>
      <c r="AH6" s="125">
        <f>'SDQ Period 5'!N15</f>
        <v>0</v>
      </c>
      <c r="AI6" s="125">
        <f>'SDQ Period 6'!N15</f>
        <v>0</v>
      </c>
      <c r="AJ6" s="125">
        <f>'SDQ Period 7'!N15</f>
        <v>0</v>
      </c>
      <c r="AK6" s="125">
        <f>'SDQ Period 8'!N15</f>
        <v>0</v>
      </c>
      <c r="AL6" s="125">
        <f>'SDQ Period 9'!N15</f>
        <v>0</v>
      </c>
      <c r="AM6" s="78" t="s">
        <v>23</v>
      </c>
      <c r="AN6" s="79">
        <v>4</v>
      </c>
      <c r="AO6" s="80" t="s">
        <v>24</v>
      </c>
      <c r="AP6" s="81" t="s">
        <v>25</v>
      </c>
    </row>
    <row r="7" spans="2:42" x14ac:dyDescent="0.25">
      <c r="B7" s="126" t="s">
        <v>5</v>
      </c>
      <c r="C7" s="124">
        <f>'SDQ Period 1'!K16</f>
        <v>4</v>
      </c>
      <c r="D7" s="125">
        <f>'SDQ Period 2'!K16</f>
        <v>3</v>
      </c>
      <c r="E7" s="125">
        <f>'SDQ Period 3'!K16</f>
        <v>4</v>
      </c>
      <c r="F7" s="125">
        <f>'SDQ Period 4'!K16</f>
        <v>4</v>
      </c>
      <c r="G7" s="125">
        <f>'SDQ Period 5'!K16</f>
        <v>0</v>
      </c>
      <c r="H7" s="125">
        <f>'SDQ Period 6'!K16</f>
        <v>0</v>
      </c>
      <c r="I7" s="124">
        <f>'SDQ Period 7'!K16</f>
        <v>0</v>
      </c>
      <c r="J7" s="124">
        <f>'SDQ Period 8'!K16</f>
        <v>0</v>
      </c>
      <c r="K7" s="124">
        <f>'SDQ Period 9'!K16</f>
        <v>0</v>
      </c>
      <c r="L7" s="124">
        <f>'SDQ Period 1'!L16</f>
        <v>0</v>
      </c>
      <c r="M7" s="124">
        <f>'SDQ Period 2'!L16</f>
        <v>0</v>
      </c>
      <c r="N7" s="124">
        <f>'SDQ Period 3'!L16</f>
        <v>0</v>
      </c>
      <c r="O7" s="124">
        <f>'SDQ Period 4'!L16</f>
        <v>0</v>
      </c>
      <c r="P7" s="124">
        <f>'SDQ Period 5'!L16</f>
        <v>0</v>
      </c>
      <c r="Q7" s="124">
        <f>'SDQ Period 6'!L16</f>
        <v>0</v>
      </c>
      <c r="R7" s="124">
        <f>'SDQ Period 7'!L16</f>
        <v>0</v>
      </c>
      <c r="S7" s="124">
        <f>'SDQ Period 8'!L16</f>
        <v>0</v>
      </c>
      <c r="T7" s="124">
        <f>'SDQ Period 9'!L16</f>
        <v>0</v>
      </c>
      <c r="U7" s="124">
        <f>'SDQ Period 1'!M16</f>
        <v>3</v>
      </c>
      <c r="V7" s="124">
        <f>'SDQ Period 2'!M16</f>
        <v>3</v>
      </c>
      <c r="W7" s="124">
        <f>'SDQ Period 3'!M16</f>
        <v>4</v>
      </c>
      <c r="X7" s="124">
        <f>'SDQ Period 4'!M16</f>
        <v>4</v>
      </c>
      <c r="Y7" s="124">
        <f>'SDQ Period 5'!M16</f>
        <v>0</v>
      </c>
      <c r="Z7" s="124">
        <f>'SDQ Period 6'!M16</f>
        <v>0</v>
      </c>
      <c r="AA7" s="124">
        <f>'SDQ Period 7'!M16</f>
        <v>0</v>
      </c>
      <c r="AB7" s="124">
        <f>'SDQ Period 8'!M16</f>
        <v>0</v>
      </c>
      <c r="AC7" s="124">
        <f>'SDQ Period 9'!M16</f>
        <v>0</v>
      </c>
      <c r="AD7" s="125">
        <f>'SDQ Period 1'!N16</f>
        <v>0</v>
      </c>
      <c r="AE7" s="125">
        <f>'SDQ Period 2'!N16</f>
        <v>0</v>
      </c>
      <c r="AF7" s="125">
        <f>'SDQ Period 3'!N16</f>
        <v>0</v>
      </c>
      <c r="AG7" s="125">
        <f>'SDQ Period 4'!N16</f>
        <v>0</v>
      </c>
      <c r="AH7" s="125">
        <f>'SDQ Period 5'!N16</f>
        <v>0</v>
      </c>
      <c r="AI7" s="125">
        <f>'SDQ Period 6'!N16</f>
        <v>0</v>
      </c>
      <c r="AJ7" s="125">
        <f>'SDQ Period 7'!N16</f>
        <v>0</v>
      </c>
      <c r="AK7" s="125">
        <f>'SDQ Period 8'!N16</f>
        <v>0</v>
      </c>
      <c r="AL7" s="125">
        <f>'SDQ Period 9'!N16</f>
        <v>0</v>
      </c>
      <c r="AM7" s="78" t="s">
        <v>27</v>
      </c>
      <c r="AN7" s="79" t="s">
        <v>28</v>
      </c>
      <c r="AO7" s="80" t="s">
        <v>29</v>
      </c>
      <c r="AP7" s="81" t="s">
        <v>30</v>
      </c>
    </row>
    <row r="8" spans="2:42" x14ac:dyDescent="0.25">
      <c r="B8" s="126" t="s">
        <v>4</v>
      </c>
      <c r="C8" s="124">
        <f>'SDQ Period 1'!K17</f>
        <v>5</v>
      </c>
      <c r="D8" s="125">
        <f>'SDQ Period 2'!K17</f>
        <v>5</v>
      </c>
      <c r="E8" s="125">
        <f>'SDQ Period 3'!K17</f>
        <v>4</v>
      </c>
      <c r="F8" s="125">
        <f>'SDQ Period 4'!K17</f>
        <v>4</v>
      </c>
      <c r="G8" s="125">
        <f>'SDQ Period 5'!K17</f>
        <v>0</v>
      </c>
      <c r="H8" s="125">
        <f>'SDQ Period 6'!K17</f>
        <v>0</v>
      </c>
      <c r="I8" s="124">
        <f>'SDQ Period 7'!K17</f>
        <v>0</v>
      </c>
      <c r="J8" s="124">
        <f>'SDQ Period 8'!K17</f>
        <v>0</v>
      </c>
      <c r="K8" s="124">
        <f>'SDQ Period 9'!K17</f>
        <v>0</v>
      </c>
      <c r="L8" s="124">
        <f>'SDQ Period 1'!L17</f>
        <v>0</v>
      </c>
      <c r="M8" s="124">
        <f>'SDQ Period 2'!L17</f>
        <v>0</v>
      </c>
      <c r="N8" s="124">
        <f>'SDQ Period 3'!L17</f>
        <v>0</v>
      </c>
      <c r="O8" s="124">
        <f>'SDQ Period 4'!L17</f>
        <v>0</v>
      </c>
      <c r="P8" s="124">
        <f>'SDQ Period 5'!L17</f>
        <v>0</v>
      </c>
      <c r="Q8" s="124">
        <f>'SDQ Period 6'!L17</f>
        <v>0</v>
      </c>
      <c r="R8" s="124">
        <f>'SDQ Period 7'!L17</f>
        <v>0</v>
      </c>
      <c r="S8" s="124">
        <f>'SDQ Period 8'!L17</f>
        <v>0</v>
      </c>
      <c r="T8" s="124">
        <f>'SDQ Period 9'!L17</f>
        <v>0</v>
      </c>
      <c r="U8" s="124">
        <f>'SDQ Period 1'!M17</f>
        <v>6</v>
      </c>
      <c r="V8" s="124">
        <f>'SDQ Period 2'!M17</f>
        <v>5</v>
      </c>
      <c r="W8" s="124">
        <f>'SDQ Period 3'!M17</f>
        <v>3</v>
      </c>
      <c r="X8" s="124">
        <f>'SDQ Period 4'!M17</f>
        <v>3</v>
      </c>
      <c r="Y8" s="124">
        <f>'SDQ Period 5'!M17</f>
        <v>0</v>
      </c>
      <c r="Z8" s="124">
        <f>'SDQ Period 6'!M17</f>
        <v>0</v>
      </c>
      <c r="AA8" s="124">
        <f>'SDQ Period 7'!M17</f>
        <v>0</v>
      </c>
      <c r="AB8" s="124">
        <f>'SDQ Period 8'!M17</f>
        <v>0</v>
      </c>
      <c r="AC8" s="124">
        <f>'SDQ Period 9'!M17</f>
        <v>0</v>
      </c>
      <c r="AD8" s="125">
        <f>'SDQ Period 1'!N17</f>
        <v>0</v>
      </c>
      <c r="AE8" s="125">
        <f>'SDQ Period 2'!N17</f>
        <v>0</v>
      </c>
      <c r="AF8" s="125">
        <f>'SDQ Period 3'!N17</f>
        <v>0</v>
      </c>
      <c r="AG8" s="125">
        <f>'SDQ Period 4'!N17</f>
        <v>0</v>
      </c>
      <c r="AH8" s="125">
        <f>'SDQ Period 5'!N17</f>
        <v>0</v>
      </c>
      <c r="AI8" s="125">
        <f>'SDQ Period 6'!N17</f>
        <v>0</v>
      </c>
      <c r="AJ8" s="125">
        <f>'SDQ Period 7'!N17</f>
        <v>0</v>
      </c>
      <c r="AK8" s="125">
        <f>'SDQ Period 8'!N17</f>
        <v>0</v>
      </c>
      <c r="AL8" s="125">
        <f>'SDQ Period 9'!N17</f>
        <v>0</v>
      </c>
      <c r="AM8" s="78" t="s">
        <v>27</v>
      </c>
      <c r="AN8" s="79" t="s">
        <v>28</v>
      </c>
      <c r="AO8" s="80" t="s">
        <v>32</v>
      </c>
      <c r="AP8" s="81" t="s">
        <v>33</v>
      </c>
    </row>
    <row r="9" spans="2:42" x14ac:dyDescent="0.25">
      <c r="B9" s="126" t="s">
        <v>15</v>
      </c>
      <c r="C9" s="124">
        <f>'SDQ Period 1'!K18</f>
        <v>6</v>
      </c>
      <c r="D9" s="125">
        <f>'SDQ Period 2'!K18</f>
        <v>6</v>
      </c>
      <c r="E9" s="125">
        <f>'SDQ Period 3'!K18</f>
        <v>6</v>
      </c>
      <c r="F9" s="125">
        <f>'SDQ Period 4'!K18</f>
        <v>6</v>
      </c>
      <c r="G9" s="125">
        <f>'SDQ Period 5'!K18</f>
        <v>0</v>
      </c>
      <c r="H9" s="125">
        <f>'SDQ Period 6'!K18</f>
        <v>0</v>
      </c>
      <c r="I9" s="124">
        <f>'SDQ Period 7'!K18</f>
        <v>0</v>
      </c>
      <c r="J9" s="124">
        <f>'SDQ Period 8'!K18</f>
        <v>0</v>
      </c>
      <c r="K9" s="124">
        <f>'SDQ Period 9'!K18</f>
        <v>0</v>
      </c>
      <c r="L9" s="124">
        <f>'SDQ Period 1'!L18</f>
        <v>0</v>
      </c>
      <c r="M9" s="124">
        <f>'SDQ Period 2'!L18</f>
        <v>0</v>
      </c>
      <c r="N9" s="124">
        <f>'SDQ Period 3'!L18</f>
        <v>0</v>
      </c>
      <c r="O9" s="124">
        <f>'SDQ Period 4'!L18</f>
        <v>0</v>
      </c>
      <c r="P9" s="124">
        <f>'SDQ Period 5'!L18</f>
        <v>0</v>
      </c>
      <c r="Q9" s="124">
        <f>'SDQ Period 6'!L18</f>
        <v>0</v>
      </c>
      <c r="R9" s="124">
        <f>'SDQ Period 7'!L18</f>
        <v>0</v>
      </c>
      <c r="S9" s="124">
        <f>'SDQ Period 8'!L18</f>
        <v>0</v>
      </c>
      <c r="T9" s="124">
        <f>'SDQ Period 9'!L18</f>
        <v>0</v>
      </c>
      <c r="U9" s="124">
        <f>'SDQ Period 1'!M18</f>
        <v>6</v>
      </c>
      <c r="V9" s="124">
        <f>'SDQ Period 2'!M18</f>
        <v>6</v>
      </c>
      <c r="W9" s="124">
        <f>'SDQ Period 3'!M18</f>
        <v>4</v>
      </c>
      <c r="X9" s="124">
        <f>'SDQ Period 4'!M18</f>
        <v>4</v>
      </c>
      <c r="Y9" s="124">
        <f>'SDQ Period 5'!M18</f>
        <v>0</v>
      </c>
      <c r="Z9" s="124">
        <f>'SDQ Period 6'!M18</f>
        <v>0</v>
      </c>
      <c r="AA9" s="124">
        <f>'SDQ Period 7'!M18</f>
        <v>0</v>
      </c>
      <c r="AB9" s="124">
        <f>'SDQ Period 8'!M18</f>
        <v>0</v>
      </c>
      <c r="AC9" s="124">
        <f>'SDQ Period 9'!M18</f>
        <v>0</v>
      </c>
      <c r="AD9" s="125">
        <f>'SDQ Period 1'!N18</f>
        <v>0</v>
      </c>
      <c r="AE9" s="125">
        <f>'SDQ Period 2'!N18</f>
        <v>0</v>
      </c>
      <c r="AF9" s="125">
        <f>'SDQ Period 3'!N18</f>
        <v>0</v>
      </c>
      <c r="AG9" s="125">
        <f>'SDQ Period 4'!N18</f>
        <v>0</v>
      </c>
      <c r="AH9" s="125">
        <f>'SDQ Period 5'!N18</f>
        <v>0</v>
      </c>
      <c r="AI9" s="125">
        <f>'SDQ Period 6'!N18</f>
        <v>0</v>
      </c>
      <c r="AJ9" s="125">
        <f>'SDQ Period 7'!N18</f>
        <v>0</v>
      </c>
      <c r="AK9" s="125">
        <f>'SDQ Period 8'!N18</f>
        <v>0</v>
      </c>
      <c r="AL9" s="125">
        <f>'SDQ Period 9'!N18</f>
        <v>0</v>
      </c>
      <c r="AM9" s="78" t="s">
        <v>35</v>
      </c>
      <c r="AN9" s="79" t="s">
        <v>36</v>
      </c>
      <c r="AO9" s="80" t="s">
        <v>37</v>
      </c>
      <c r="AP9" s="81" t="s">
        <v>38</v>
      </c>
    </row>
    <row r="10" spans="2:42"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7'!K19</f>
        <v>0</v>
      </c>
      <c r="J10" s="124">
        <f>'SDQ Period 8'!K19</f>
        <v>0</v>
      </c>
      <c r="K10" s="124">
        <f>'SDQ Period 9'!K19</f>
        <v>0</v>
      </c>
      <c r="L10" s="124">
        <f>'SDQ Period 1'!L19</f>
        <v>0</v>
      </c>
      <c r="M10" s="124">
        <f>'SDQ Period 2'!L19</f>
        <v>0</v>
      </c>
      <c r="N10" s="124">
        <f>'SDQ Period 3'!L19</f>
        <v>0</v>
      </c>
      <c r="O10" s="124">
        <f>'SDQ Period 4'!L19</f>
        <v>0</v>
      </c>
      <c r="P10" s="124">
        <f>'SDQ Period 5'!L19</f>
        <v>0</v>
      </c>
      <c r="Q10" s="124">
        <f>'SDQ Period 6'!L19</f>
        <v>0</v>
      </c>
      <c r="R10" s="124">
        <f>'SDQ Period 7'!L19</f>
        <v>0</v>
      </c>
      <c r="S10" s="124">
        <f>'SDQ Period 8'!L19</f>
        <v>0</v>
      </c>
      <c r="T10" s="124">
        <f>'SDQ Period 9'!L19</f>
        <v>0</v>
      </c>
      <c r="U10" s="124">
        <f>'SDQ Period 1'!M19</f>
        <v>21</v>
      </c>
      <c r="V10" s="124">
        <f>'SDQ Period 2'!M19</f>
        <v>20</v>
      </c>
      <c r="W10" s="124">
        <f>'SDQ Period 3'!M19</f>
        <v>15</v>
      </c>
      <c r="X10" s="124">
        <f>'SDQ Period 4'!M19</f>
        <v>15</v>
      </c>
      <c r="Y10" s="124">
        <f>'SDQ Period 5'!M19</f>
        <v>0</v>
      </c>
      <c r="Z10" s="124">
        <f>'SDQ Period 6'!M19</f>
        <v>0</v>
      </c>
      <c r="AA10" s="124">
        <f>'SDQ Period 7'!M19</f>
        <v>0</v>
      </c>
      <c r="AB10" s="124">
        <f>'SDQ Period 8'!M19</f>
        <v>0</v>
      </c>
      <c r="AC10" s="124">
        <f>'SDQ Period 9'!M19</f>
        <v>0</v>
      </c>
      <c r="AD10" s="125">
        <f>'SDQ Period 1'!N19</f>
        <v>0</v>
      </c>
      <c r="AE10" s="125">
        <f>'SDQ Period 2'!N19</f>
        <v>0</v>
      </c>
      <c r="AF10" s="125">
        <f>'SDQ Period 3'!N19</f>
        <v>0</v>
      </c>
      <c r="AG10" s="125">
        <f>'SDQ Period 4'!N19</f>
        <v>0</v>
      </c>
      <c r="AH10" s="125">
        <f>'SDQ Period 5'!N19</f>
        <v>0</v>
      </c>
      <c r="AI10" s="125">
        <f>'SDQ Period 6'!N19</f>
        <v>0</v>
      </c>
      <c r="AJ10" s="125">
        <f>'SDQ Period 7'!N19</f>
        <v>0</v>
      </c>
      <c r="AK10" s="125">
        <f>'SDQ Period 8'!N19</f>
        <v>0</v>
      </c>
      <c r="AL10" s="125">
        <f>'SDQ Period 9'!N19</f>
        <v>0</v>
      </c>
      <c r="AM10" s="78" t="s">
        <v>41</v>
      </c>
      <c r="AN10" s="79" t="s">
        <v>42</v>
      </c>
      <c r="AO10" s="80" t="s">
        <v>43</v>
      </c>
      <c r="AP10" s="81" t="s">
        <v>44</v>
      </c>
    </row>
    <row r="11" spans="2:42"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7'!K20</f>
        <v>0</v>
      </c>
      <c r="J11" s="124">
        <f>'SDQ Period 8'!K20</f>
        <v>0</v>
      </c>
      <c r="K11" s="124">
        <f>'SDQ Period 9'!K20</f>
        <v>0</v>
      </c>
      <c r="L11" s="124">
        <f>'SDQ Period 1'!L20</f>
        <v>0</v>
      </c>
      <c r="M11" s="124">
        <f>'SDQ Period 2'!L20</f>
        <v>0</v>
      </c>
      <c r="N11" s="124">
        <f>'SDQ Period 3'!L20</f>
        <v>0</v>
      </c>
      <c r="O11" s="124">
        <f>'SDQ Period 4'!L20</f>
        <v>0</v>
      </c>
      <c r="P11" s="124">
        <f>'SDQ Period 5'!L20</f>
        <v>0</v>
      </c>
      <c r="Q11" s="124">
        <f>'SDQ Period 6'!L20</f>
        <v>0</v>
      </c>
      <c r="R11" s="124">
        <f>'SDQ Period 7'!L20</f>
        <v>0</v>
      </c>
      <c r="S11" s="124">
        <f>'SDQ Period 8'!L20</f>
        <v>0</v>
      </c>
      <c r="T11" s="124">
        <f>'SDQ Period 9'!L20</f>
        <v>0</v>
      </c>
      <c r="U11" s="124">
        <f>'SDQ Period 1'!M20</f>
        <v>9</v>
      </c>
      <c r="V11" s="124">
        <f>'SDQ Period 2'!M20</f>
        <v>9</v>
      </c>
      <c r="W11" s="124">
        <f>'SDQ Period 3'!M20</f>
        <v>8</v>
      </c>
      <c r="X11" s="124">
        <f>'SDQ Period 4'!M20</f>
        <v>8</v>
      </c>
      <c r="Y11" s="124">
        <f>'SDQ Period 5'!M20</f>
        <v>0</v>
      </c>
      <c r="Z11" s="124">
        <f>'SDQ Period 6'!M20</f>
        <v>0</v>
      </c>
      <c r="AA11" s="124">
        <f>'SDQ Period 7'!M20</f>
        <v>0</v>
      </c>
      <c r="AB11" s="124">
        <f>'SDQ Period 8'!M20</f>
        <v>0</v>
      </c>
      <c r="AC11" s="124">
        <f>'SDQ Period 9'!M20</f>
        <v>0</v>
      </c>
      <c r="AD11" s="125">
        <f>'SDQ Period 1'!N20</f>
        <v>0</v>
      </c>
      <c r="AE11" s="125">
        <f>'SDQ Period 2'!N20</f>
        <v>0</v>
      </c>
      <c r="AF11" s="125">
        <f>'SDQ Period 3'!N20</f>
        <v>0</v>
      </c>
      <c r="AG11" s="125">
        <f>'SDQ Period 4'!N20</f>
        <v>0</v>
      </c>
      <c r="AH11" s="125">
        <f>'SDQ Period 5'!N20</f>
        <v>0</v>
      </c>
      <c r="AI11" s="125">
        <f>'SDQ Period 6'!N20</f>
        <v>0</v>
      </c>
      <c r="AJ11" s="125">
        <f>'SDQ Period 7'!N20</f>
        <v>0</v>
      </c>
      <c r="AK11" s="125">
        <f>'SDQ Period 8'!N20</f>
        <v>0</v>
      </c>
      <c r="AL11" s="125">
        <f>'SDQ Period 9'!N20</f>
        <v>0</v>
      </c>
      <c r="AM11" s="78" t="s">
        <v>23</v>
      </c>
      <c r="AN11" s="79" t="s">
        <v>47</v>
      </c>
      <c r="AO11" s="80" t="s">
        <v>48</v>
      </c>
      <c r="AP11" s="81" t="s">
        <v>49</v>
      </c>
    </row>
    <row r="12" spans="2:42"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7'!K21</f>
        <v>0</v>
      </c>
      <c r="J12" s="124">
        <f>'SDQ Period 8'!K21</f>
        <v>0</v>
      </c>
      <c r="K12" s="124">
        <f>'SDQ Period 9'!K21</f>
        <v>0</v>
      </c>
      <c r="L12" s="124">
        <f>'SDQ Period 1'!L21</f>
        <v>0</v>
      </c>
      <c r="M12" s="124">
        <f>'SDQ Period 2'!L21</f>
        <v>0</v>
      </c>
      <c r="N12" s="124">
        <f>'SDQ Period 3'!L21</f>
        <v>0</v>
      </c>
      <c r="O12" s="124">
        <f>'SDQ Period 4'!L21</f>
        <v>0</v>
      </c>
      <c r="P12" s="124">
        <f>'SDQ Period 5'!L21</f>
        <v>0</v>
      </c>
      <c r="Q12" s="124">
        <f>'SDQ Period 6'!L21</f>
        <v>0</v>
      </c>
      <c r="R12" s="124">
        <f>'SDQ Period 7'!L21</f>
        <v>0</v>
      </c>
      <c r="S12" s="124">
        <f>'SDQ Period 8'!L21</f>
        <v>0</v>
      </c>
      <c r="T12" s="124">
        <f>'SDQ Period 9'!L21</f>
        <v>0</v>
      </c>
      <c r="U12" s="124">
        <f>'SDQ Period 1'!M21</f>
        <v>12</v>
      </c>
      <c r="V12" s="124">
        <f>'SDQ Period 2'!M21</f>
        <v>11</v>
      </c>
      <c r="W12" s="124">
        <f>'SDQ Period 3'!M21</f>
        <v>7</v>
      </c>
      <c r="X12" s="124">
        <f>'SDQ Period 4'!M21</f>
        <v>7</v>
      </c>
      <c r="Y12" s="124">
        <f>'SDQ Period 5'!M21</f>
        <v>0</v>
      </c>
      <c r="Z12" s="124">
        <f>'SDQ Period 6'!M21</f>
        <v>0</v>
      </c>
      <c r="AA12" s="124">
        <f>'SDQ Period 7'!M21</f>
        <v>0</v>
      </c>
      <c r="AB12" s="124">
        <f>'SDQ Period 8'!M21</f>
        <v>0</v>
      </c>
      <c r="AC12" s="124">
        <f>'SDQ Period 9'!M21</f>
        <v>0</v>
      </c>
      <c r="AD12" s="125">
        <f>'SDQ Period 1'!N21</f>
        <v>0</v>
      </c>
      <c r="AE12" s="125">
        <f>'SDQ Period 2'!N21</f>
        <v>0</v>
      </c>
      <c r="AF12" s="125">
        <f>'SDQ Period 3'!N21</f>
        <v>0</v>
      </c>
      <c r="AG12" s="125">
        <f>'SDQ Period 4'!N21</f>
        <v>0</v>
      </c>
      <c r="AH12" s="125">
        <f>'SDQ Period 5'!N21</f>
        <v>0</v>
      </c>
      <c r="AI12" s="125">
        <f>'SDQ Period 6'!N21</f>
        <v>0</v>
      </c>
      <c r="AJ12" s="125">
        <f>'SDQ Period 7'!N21</f>
        <v>0</v>
      </c>
      <c r="AK12" s="125">
        <f>'SDQ Period 8'!N21</f>
        <v>0</v>
      </c>
      <c r="AL12" s="125">
        <f>'SDQ Period 9'!N21</f>
        <v>0</v>
      </c>
      <c r="AM12" s="78" t="s">
        <v>52</v>
      </c>
      <c r="AN12" s="79" t="s">
        <v>48</v>
      </c>
      <c r="AO12" s="80" t="s">
        <v>53</v>
      </c>
      <c r="AP12" s="81" t="s">
        <v>54</v>
      </c>
    </row>
    <row r="13" spans="2:42"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7'!K22</f>
        <v>0</v>
      </c>
      <c r="J13" s="124">
        <f>'SDQ Period 8'!K22</f>
        <v>0</v>
      </c>
      <c r="K13" s="124">
        <f>'SDQ Period 9'!K22</f>
        <v>0</v>
      </c>
      <c r="L13" s="124">
        <f>'SDQ Period 1'!L22</f>
        <v>5</v>
      </c>
      <c r="M13" s="124">
        <f>'SDQ Period 2'!L22</f>
        <v>5</v>
      </c>
      <c r="N13" s="124">
        <f>'SDQ Period 3'!L22</f>
        <v>6</v>
      </c>
      <c r="O13" s="124">
        <f>'SDQ Period 4'!L22</f>
        <v>6</v>
      </c>
      <c r="P13" s="124">
        <f>'SDQ Period 5'!L22</f>
        <v>0</v>
      </c>
      <c r="Q13" s="124">
        <f>'SDQ Period 6'!L22</f>
        <v>0</v>
      </c>
      <c r="R13" s="124">
        <f>'SDQ Period 7'!L22</f>
        <v>0</v>
      </c>
      <c r="S13" s="124">
        <f>'SDQ Period 8'!L22</f>
        <v>0</v>
      </c>
      <c r="T13" s="124">
        <f>'SDQ Period 9'!L22</f>
        <v>0</v>
      </c>
      <c r="U13" s="124">
        <f>'SDQ Period 1'!M22</f>
        <v>5</v>
      </c>
      <c r="V13" s="124">
        <f>'SDQ Period 2'!M22</f>
        <v>6</v>
      </c>
      <c r="W13" s="124">
        <f>'SDQ Period 3'!M22</f>
        <v>7</v>
      </c>
      <c r="X13" s="124">
        <f>'SDQ Period 4'!M22</f>
        <v>7</v>
      </c>
      <c r="Y13" s="124">
        <f>'SDQ Period 5'!M22</f>
        <v>0</v>
      </c>
      <c r="Z13" s="124">
        <f>'SDQ Period 6'!M22</f>
        <v>0</v>
      </c>
      <c r="AA13" s="124">
        <f>'SDQ Period 7'!M22</f>
        <v>0</v>
      </c>
      <c r="AB13" s="124">
        <f>'SDQ Period 8'!M22</f>
        <v>0</v>
      </c>
      <c r="AC13" s="124">
        <f>'SDQ Period 9'!M22</f>
        <v>0</v>
      </c>
      <c r="AD13" s="125">
        <f>'SDQ Period 1'!N22</f>
        <v>0</v>
      </c>
      <c r="AE13" s="125">
        <f>'SDQ Period 2'!N22</f>
        <v>0</v>
      </c>
      <c r="AF13" s="125">
        <f>'SDQ Period 3'!N22</f>
        <v>7</v>
      </c>
      <c r="AG13" s="125">
        <f>'SDQ Period 4'!N22</f>
        <v>7</v>
      </c>
      <c r="AH13" s="125">
        <f>'SDQ Period 5'!N22</f>
        <v>0</v>
      </c>
      <c r="AI13" s="125">
        <f>'SDQ Period 6'!N22</f>
        <v>0</v>
      </c>
      <c r="AJ13" s="125">
        <f>'SDQ Period 7'!N22</f>
        <v>0</v>
      </c>
      <c r="AK13" s="125">
        <f>'SDQ Period 8'!N22</f>
        <v>0</v>
      </c>
      <c r="AL13" s="125">
        <f>'SDQ Period 9'!N22</f>
        <v>0</v>
      </c>
      <c r="AM13" s="78" t="s">
        <v>23</v>
      </c>
      <c r="AN13" s="79" t="s">
        <v>29</v>
      </c>
      <c r="AO13" s="80" t="s">
        <v>24</v>
      </c>
      <c r="AP13" s="81" t="s">
        <v>25</v>
      </c>
    </row>
    <row r="14" spans="2:42" x14ac:dyDescent="0.25">
      <c r="B14" s="126"/>
      <c r="C14" s="124">
        <f>'SDQ Period 1'!K23</f>
        <v>0</v>
      </c>
      <c r="D14" s="125">
        <f>'SDQ Period 2'!K23</f>
        <v>0</v>
      </c>
      <c r="E14" s="125">
        <f>'SDQ Period 3'!K23</f>
        <v>0</v>
      </c>
      <c r="F14" s="125">
        <f>'SDQ Period 4'!K23</f>
        <v>0</v>
      </c>
      <c r="G14" s="125">
        <f>'SDQ Period 5'!K23</f>
        <v>0</v>
      </c>
      <c r="H14" s="125">
        <f>'SDQ Period 6'!K23</f>
        <v>0</v>
      </c>
      <c r="I14" s="124">
        <f>'SDQ Period 7'!K23</f>
        <v>0</v>
      </c>
      <c r="J14" s="124">
        <f>'SDQ Period 8'!K23</f>
        <v>0</v>
      </c>
      <c r="K14" s="124">
        <f>'SDQ Period 9'!K23</f>
        <v>0</v>
      </c>
      <c r="L14" s="124">
        <f>'SDQ Period 1'!L23</f>
        <v>0</v>
      </c>
      <c r="M14" s="124">
        <f>'SDQ Period 2'!L23</f>
        <v>0</v>
      </c>
      <c r="N14" s="124">
        <f>'SDQ Period 3'!L23</f>
        <v>0</v>
      </c>
      <c r="O14" s="124">
        <f>'SDQ Period 4'!L23</f>
        <v>0</v>
      </c>
      <c r="P14" s="124">
        <f>'SDQ Period 5'!L23</f>
        <v>0</v>
      </c>
      <c r="Q14" s="124">
        <f>'SDQ Period 6'!L23</f>
        <v>0</v>
      </c>
      <c r="R14" s="124">
        <f>'SDQ Period 7'!L23</f>
        <v>0</v>
      </c>
      <c r="S14" s="124">
        <f>'SDQ Period 8'!L23</f>
        <v>0</v>
      </c>
      <c r="T14" s="124">
        <f>'SDQ Period 9'!L23</f>
        <v>0</v>
      </c>
      <c r="U14" s="124">
        <f>'SDQ Period 1'!M23</f>
        <v>0</v>
      </c>
      <c r="V14" s="124">
        <f>'SDQ Period 2'!M23</f>
        <v>0</v>
      </c>
      <c r="W14" s="124">
        <f>'SDQ Period 3'!M23</f>
        <v>0</v>
      </c>
      <c r="X14" s="124">
        <f>'SDQ Period 4'!M23</f>
        <v>0</v>
      </c>
      <c r="Y14" s="124">
        <f>'SDQ Period 5'!M23</f>
        <v>0</v>
      </c>
      <c r="Z14" s="124">
        <f>'SDQ Period 6'!M23</f>
        <v>0</v>
      </c>
      <c r="AA14" s="124">
        <f>'SDQ Period 7'!M23</f>
        <v>0</v>
      </c>
      <c r="AB14" s="124">
        <f>'SDQ Period 8'!M23</f>
        <v>0</v>
      </c>
      <c r="AC14" s="124">
        <f>'SDQ Period 9'!M23</f>
        <v>0</v>
      </c>
      <c r="AD14" s="125">
        <f>'SDQ Period 1'!N23</f>
        <v>0</v>
      </c>
      <c r="AE14" s="125">
        <f>'SDQ Period 2'!N23</f>
        <v>0</v>
      </c>
      <c r="AF14" s="125">
        <f>'SDQ Period 3'!N23</f>
        <v>0</v>
      </c>
      <c r="AG14" s="125">
        <f>'SDQ Period 4'!N23</f>
        <v>0</v>
      </c>
      <c r="AH14" s="125">
        <f>'SDQ Period 5'!N23</f>
        <v>0</v>
      </c>
      <c r="AI14" s="125">
        <f>'SDQ Period 6'!N23</f>
        <v>0</v>
      </c>
      <c r="AJ14" s="125">
        <f>'SDQ Period 7'!N23</f>
        <v>0</v>
      </c>
      <c r="AK14" s="125">
        <f>'SDQ Period 8'!N23</f>
        <v>0</v>
      </c>
      <c r="AL14" s="125">
        <f>'SDQ Period 9'!N23</f>
        <v>0</v>
      </c>
      <c r="AM14" s="82"/>
      <c r="AN14" s="82"/>
      <c r="AO14" s="82"/>
      <c r="AP14" s="82"/>
    </row>
    <row r="15" spans="2:42"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7'!K24</f>
        <v>0</v>
      </c>
      <c r="J15" s="124">
        <f>'SDQ Period 8'!K24</f>
        <v>0</v>
      </c>
      <c r="K15" s="124">
        <f>'SDQ Period 9'!K24</f>
        <v>0</v>
      </c>
      <c r="L15" s="124">
        <f>'SDQ Period 1'!L24</f>
        <v>0</v>
      </c>
      <c r="M15" s="124">
        <f>'SDQ Period 2'!L24</f>
        <v>0</v>
      </c>
      <c r="N15" s="124">
        <f>'SDQ Period 3'!L24</f>
        <v>0</v>
      </c>
      <c r="O15" s="124">
        <f>'SDQ Period 4'!L24</f>
        <v>0</v>
      </c>
      <c r="P15" s="124">
        <f>'SDQ Period 5'!L24</f>
        <v>0</v>
      </c>
      <c r="Q15" s="124">
        <f>'SDQ Period 6'!L24</f>
        <v>0</v>
      </c>
      <c r="R15" s="124">
        <f>'SDQ Period 7'!L24</f>
        <v>0</v>
      </c>
      <c r="S15" s="124">
        <f>'SDQ Period 8'!L24</f>
        <v>0</v>
      </c>
      <c r="T15" s="124">
        <f>'SDQ Period 9'!L24</f>
        <v>0</v>
      </c>
      <c r="U15" s="124">
        <f>'SDQ Period 1'!M24</f>
        <v>4</v>
      </c>
      <c r="V15" s="124">
        <f>'SDQ Period 2'!M24</f>
        <v>4</v>
      </c>
      <c r="W15" s="124">
        <f>'SDQ Period 3'!M24</f>
        <v>7</v>
      </c>
      <c r="X15" s="124">
        <f>'SDQ Period 4'!M24</f>
        <v>7</v>
      </c>
      <c r="Y15" s="124">
        <f>'SDQ Period 5'!M24</f>
        <v>0</v>
      </c>
      <c r="Z15" s="124">
        <f>'SDQ Period 6'!M24</f>
        <v>0</v>
      </c>
      <c r="AA15" s="124">
        <f>'SDQ Period 7'!M24</f>
        <v>0</v>
      </c>
      <c r="AB15" s="124">
        <f>'SDQ Period 8'!M24</f>
        <v>0</v>
      </c>
      <c r="AC15" s="124">
        <f>'SDQ Period 9'!M24</f>
        <v>0</v>
      </c>
      <c r="AD15" s="125">
        <f>'SDQ Period 1'!N24</f>
        <v>0</v>
      </c>
      <c r="AE15" s="125">
        <f>'SDQ Period 2'!N24</f>
        <v>0</v>
      </c>
      <c r="AF15" s="125">
        <f>'SDQ Period 3'!N24</f>
        <v>0</v>
      </c>
      <c r="AG15" s="125">
        <f>'SDQ Period 4'!N24</f>
        <v>0</v>
      </c>
      <c r="AH15" s="125">
        <f>'SDQ Period 5'!N24</f>
        <v>0</v>
      </c>
      <c r="AI15" s="125">
        <f>'SDQ Period 6'!N24</f>
        <v>0</v>
      </c>
      <c r="AJ15" s="125">
        <f>'SDQ Period 7'!N24</f>
        <v>0</v>
      </c>
      <c r="AK15" s="125">
        <f>'SDQ Period 8'!N24</f>
        <v>0</v>
      </c>
      <c r="AL15" s="125">
        <f>'SDQ Period 9'!N24</f>
        <v>0</v>
      </c>
      <c r="AM15" s="78" t="s">
        <v>48</v>
      </c>
      <c r="AN15" s="79" t="s">
        <v>59</v>
      </c>
      <c r="AO15" s="80" t="s">
        <v>60</v>
      </c>
      <c r="AP15" s="81"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defaultRowHeight="15" x14ac:dyDescent="0.25"/>
  <cols>
    <col min="5" max="5" width="14" customWidth="1"/>
  </cols>
  <sheetData>
    <row r="4" spans="3:17" ht="15.75" thickBot="1" x14ac:dyDescent="0.3"/>
    <row r="5" spans="3:17" x14ac:dyDescent="0.25">
      <c r="C5" s="10"/>
      <c r="D5" s="12"/>
      <c r="E5" s="12"/>
      <c r="F5" s="12"/>
      <c r="G5" s="12"/>
      <c r="H5" s="12"/>
      <c r="I5" s="12"/>
      <c r="J5" s="12"/>
      <c r="K5" s="12"/>
      <c r="L5" s="12"/>
      <c r="M5" s="12"/>
      <c r="N5" s="12"/>
      <c r="O5" s="12"/>
      <c r="P5" s="12"/>
      <c r="Q5" s="13"/>
    </row>
    <row r="6" spans="3:17" x14ac:dyDescent="0.25">
      <c r="C6" s="4"/>
      <c r="Q6" s="5"/>
    </row>
    <row r="7" spans="3:17" x14ac:dyDescent="0.25">
      <c r="C7" s="4"/>
      <c r="D7" s="1" t="s">
        <v>173</v>
      </c>
      <c r="F7" s="147" t="s">
        <v>157</v>
      </c>
      <c r="G7" s="147"/>
      <c r="H7" s="147"/>
      <c r="I7" s="147"/>
      <c r="J7" s="147"/>
      <c r="K7" s="147"/>
      <c r="L7" s="147"/>
      <c r="M7" s="147"/>
      <c r="N7" s="147"/>
      <c r="O7" s="147"/>
      <c r="P7" s="147"/>
      <c r="Q7" s="5"/>
    </row>
    <row r="8" spans="3:17" x14ac:dyDescent="0.25">
      <c r="C8" s="4"/>
      <c r="F8" s="147" t="s">
        <v>158</v>
      </c>
      <c r="G8" s="147"/>
      <c r="H8" s="147"/>
      <c r="I8" s="147"/>
      <c r="J8" s="147"/>
      <c r="K8" s="147"/>
      <c r="L8" s="147"/>
      <c r="M8" s="147"/>
      <c r="N8" s="147"/>
      <c r="O8" s="18"/>
      <c r="P8" s="18"/>
      <c r="Q8" s="5"/>
    </row>
    <row r="9" spans="3:17" x14ac:dyDescent="0.25">
      <c r="C9" s="4"/>
      <c r="F9" t="s">
        <v>131</v>
      </c>
      <c r="Q9" s="5"/>
    </row>
    <row r="10" spans="3:17" x14ac:dyDescent="0.25">
      <c r="C10" s="4"/>
      <c r="F10" t="s">
        <v>174</v>
      </c>
      <c r="Q10" s="5"/>
    </row>
    <row r="11" spans="3:17" x14ac:dyDescent="0.25">
      <c r="C11" s="4"/>
      <c r="Q11" s="5"/>
    </row>
    <row r="12" spans="3:17" ht="15.75" thickBot="1" x14ac:dyDescent="0.3">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abSelected="1" zoomScale="90" zoomScaleNormal="90" workbookViewId="0">
      <selection activeCell="F13" sqref="F13"/>
    </sheetView>
  </sheetViews>
  <sheetFormatPr defaultRowHeight="15" x14ac:dyDescent="0.25"/>
  <cols>
    <col min="1" max="2" width="9.140625" style="19"/>
    <col min="3" max="3" width="33" style="19" customWidth="1"/>
    <col min="4" max="4" width="34.42578125" style="19" customWidth="1"/>
    <col min="5" max="5" width="28.140625" style="19" customWidth="1"/>
    <col min="6" max="6" width="23.42578125" style="19" customWidth="1"/>
    <col min="7" max="7" width="11.7109375" style="19" customWidth="1"/>
    <col min="8" max="8" width="22.140625" style="19" customWidth="1"/>
    <col min="9" max="9" width="13.85546875" style="19" customWidth="1"/>
    <col min="10" max="10" width="24.28515625" style="19" customWidth="1"/>
    <col min="11" max="11" width="40.5703125" style="19" bestFit="1" customWidth="1"/>
    <col min="12" max="12" width="19.140625" style="19" customWidth="1"/>
    <col min="13" max="16384" width="9.140625" style="19"/>
  </cols>
  <sheetData>
    <row r="1" spans="2:13" ht="15.75" thickBot="1" x14ac:dyDescent="0.3"/>
    <row r="2" spans="2:13" ht="15.75" thickBot="1" x14ac:dyDescent="0.3">
      <c r="B2" s="20"/>
      <c r="C2" s="21"/>
      <c r="D2" s="21"/>
      <c r="E2" s="21"/>
      <c r="F2" s="21"/>
      <c r="G2" s="21"/>
      <c r="H2" s="21"/>
      <c r="I2" s="21"/>
      <c r="J2" s="21"/>
      <c r="K2" s="21"/>
      <c r="L2" s="21"/>
      <c r="M2" s="22"/>
    </row>
    <row r="3" spans="2:13" ht="15.75" thickBot="1" x14ac:dyDescent="0.3">
      <c r="B3" s="23"/>
      <c r="D3" s="19" t="s">
        <v>104</v>
      </c>
      <c r="E3" s="93" t="s">
        <v>233</v>
      </c>
      <c r="H3" s="25" t="s">
        <v>170</v>
      </c>
      <c r="M3" s="24"/>
    </row>
    <row r="4" spans="2:13" x14ac:dyDescent="0.25">
      <c r="B4" s="23"/>
      <c r="H4" s="25"/>
      <c r="M4" s="24"/>
    </row>
    <row r="5" spans="2:13" x14ac:dyDescent="0.25">
      <c r="B5" s="23"/>
      <c r="H5" s="25" t="s">
        <v>171</v>
      </c>
      <c r="I5" s="19" t="s">
        <v>224</v>
      </c>
      <c r="M5" s="24"/>
    </row>
    <row r="6" spans="2:13" ht="15.75" thickBot="1" x14ac:dyDescent="0.3">
      <c r="B6" s="23"/>
      <c r="C6" s="25"/>
      <c r="H6" s="25"/>
      <c r="M6" s="24"/>
    </row>
    <row r="7" spans="2:13" ht="15.75" thickBot="1" x14ac:dyDescent="0.3">
      <c r="B7" s="23"/>
      <c r="D7" s="26" t="s">
        <v>155</v>
      </c>
      <c r="E7" s="88" t="s">
        <v>226</v>
      </c>
      <c r="F7" s="27"/>
      <c r="H7" s="25" t="s">
        <v>85</v>
      </c>
      <c r="I7" s="179">
        <v>45962</v>
      </c>
      <c r="J7" s="25"/>
      <c r="M7" s="24"/>
    </row>
    <row r="8" spans="2:13" ht="15.75" thickBot="1" x14ac:dyDescent="0.3">
      <c r="B8" s="23"/>
      <c r="D8" s="26" t="s">
        <v>85</v>
      </c>
      <c r="E8" s="89">
        <v>45962</v>
      </c>
      <c r="G8" s="27"/>
      <c r="M8" s="24"/>
    </row>
    <row r="9" spans="2:13" ht="15.75" thickBot="1" x14ac:dyDescent="0.3">
      <c r="B9" s="23"/>
      <c r="D9" s="26" t="s">
        <v>92</v>
      </c>
      <c r="E9" s="88" t="s">
        <v>226</v>
      </c>
      <c r="M9" s="24"/>
    </row>
    <row r="10" spans="2:13" x14ac:dyDescent="0.25">
      <c r="B10" s="23"/>
      <c r="D10" s="26"/>
      <c r="E10" s="26"/>
      <c r="M10" s="24"/>
    </row>
    <row r="11" spans="2:13" x14ac:dyDescent="0.25">
      <c r="B11" s="23"/>
      <c r="D11" s="26"/>
      <c r="E11" s="26"/>
      <c r="M11" s="24"/>
    </row>
    <row r="12" spans="2:13" ht="15.75" thickBot="1" x14ac:dyDescent="0.3">
      <c r="B12" s="23"/>
      <c r="C12" s="25" t="s">
        <v>160</v>
      </c>
      <c r="D12" s="26"/>
      <c r="E12" s="26"/>
      <c r="M12" s="24"/>
    </row>
    <row r="13" spans="2:13" ht="15.75" thickBot="1" x14ac:dyDescent="0.3">
      <c r="B13" s="23"/>
      <c r="D13" s="26" t="s">
        <v>200</v>
      </c>
      <c r="E13" s="142" t="str">
        <f>'Goal Based Outcomes (GBO)'!Q36</f>
        <v>✓ All in Order</v>
      </c>
      <c r="M13" s="24"/>
    </row>
    <row r="14" spans="2:13" ht="15.75" thickBot="1" x14ac:dyDescent="0.3">
      <c r="B14" s="23"/>
      <c r="D14" s="26" t="s">
        <v>201</v>
      </c>
      <c r="E14" s="142" t="str">
        <f>IF('&lt;&lt;&lt;Summary SDQs by Period&gt;&gt;&gt;'!H19=0, "", '&lt;&lt;&lt;Summary SDQs by Period&gt;&gt;&gt;'!H19)</f>
        <v>✓ All in Order</v>
      </c>
      <c r="M14" s="24"/>
    </row>
    <row r="15" spans="2:13" ht="15.75" thickBot="1" x14ac:dyDescent="0.3">
      <c r="B15" s="23"/>
      <c r="D15" s="26"/>
      <c r="E15" s="26"/>
      <c r="M15" s="24"/>
    </row>
    <row r="16" spans="2:13" ht="15.75" thickBot="1" x14ac:dyDescent="0.3">
      <c r="B16" s="23"/>
      <c r="D16" s="26" t="s">
        <v>115</v>
      </c>
      <c r="E16" s="90" t="str" cm="1">
        <f t="array" ref="E16">IF(SUMPRODUCT(--(TRIM(E29:E37)&lt;&gt;"") + --(TRIM(F29:F37)&lt;&gt;""))=0, "", IF(SUMPRODUCT((E29:E35&lt;&gt;"")*(E30:E36&lt;&gt;"")*(E31:E37&lt;&gt;"")*(F29:F35&lt;&gt;"")*(F30:F36&lt;&gt;"")*(F31:F37&lt;&gt;""))&gt;0, "Complete", "Incomplete"))</f>
        <v>Complete</v>
      </c>
      <c r="M16" s="24"/>
    </row>
    <row r="17" spans="2:13" x14ac:dyDescent="0.25">
      <c r="B17" s="23"/>
      <c r="E17" s="91"/>
      <c r="F17" s="27"/>
      <c r="H17" s="27"/>
      <c r="M17" s="24"/>
    </row>
    <row r="18" spans="2:13" ht="15.75" thickBot="1" x14ac:dyDescent="0.3">
      <c r="B18" s="23"/>
      <c r="E18" s="91"/>
      <c r="F18" s="27"/>
      <c r="H18" s="27"/>
      <c r="M18" s="24"/>
    </row>
    <row r="19" spans="2:13" ht="15.75" thickBot="1" x14ac:dyDescent="0.3">
      <c r="B19" s="23"/>
      <c r="D19" s="26" t="s">
        <v>153</v>
      </c>
      <c r="E19" s="92" t="str">
        <f>E56</f>
        <v>Yes</v>
      </c>
      <c r="H19" s="27"/>
      <c r="M19" s="24"/>
    </row>
    <row r="20" spans="2:13" ht="15.75" thickBot="1" x14ac:dyDescent="0.3">
      <c r="B20" s="23"/>
      <c r="E20" s="91"/>
      <c r="F20" s="27"/>
      <c r="H20" s="27"/>
      <c r="M20" s="24"/>
    </row>
    <row r="21" spans="2:13" ht="15.75" thickBot="1" x14ac:dyDescent="0.3">
      <c r="B21" s="23"/>
      <c r="D21" s="25" t="s">
        <v>110</v>
      </c>
      <c r="E21" s="92" t="str">
        <f>IF(COUNTA(E7,E9,E13,E14,E16,E19)&lt;5,"",
   IF(AND(E7="Yes",E9="Yes",E16="Complete",
      ISNUMBER(SEARCH("All in Order",E13)),
      ISNUMBER(SEARCH("All in Order",E14)),
      E19="Yes"),"Yes","No"))</f>
        <v>Yes</v>
      </c>
      <c r="F21" s="27"/>
      <c r="H21" s="27"/>
      <c r="M21" s="24"/>
    </row>
    <row r="22" spans="2:13" x14ac:dyDescent="0.25">
      <c r="B22" s="23"/>
      <c r="E22" s="27"/>
      <c r="F22" s="27"/>
      <c r="H22" s="27"/>
      <c r="M22" s="24"/>
    </row>
    <row r="23" spans="2:13" ht="15.75" thickBot="1" x14ac:dyDescent="0.3">
      <c r="B23" s="46"/>
      <c r="C23" s="47"/>
      <c r="D23" s="47"/>
      <c r="E23" s="97"/>
      <c r="F23" s="97"/>
      <c r="G23" s="47"/>
      <c r="H23" s="97"/>
      <c r="I23" s="47"/>
      <c r="J23" s="47"/>
      <c r="K23" s="47"/>
      <c r="L23" s="47"/>
      <c r="M23" s="48"/>
    </row>
    <row r="24" spans="2:13" x14ac:dyDescent="0.25">
      <c r="B24" s="23"/>
      <c r="E24" s="27"/>
      <c r="F24" s="27"/>
      <c r="H24" s="27"/>
      <c r="M24" s="24"/>
    </row>
    <row r="25" spans="2:13" ht="15.75" thickBot="1" x14ac:dyDescent="0.3">
      <c r="B25" s="23"/>
      <c r="C25" s="25" t="s">
        <v>159</v>
      </c>
      <c r="E25" s="27"/>
      <c r="F25" s="27"/>
      <c r="H25" s="27"/>
      <c r="M25" s="24"/>
    </row>
    <row r="26" spans="2:13" ht="15.75" thickBot="1" x14ac:dyDescent="0.3">
      <c r="B26" s="23"/>
      <c r="E26" s="151" t="s">
        <v>118</v>
      </c>
      <c r="F26" s="153"/>
      <c r="G26" s="29"/>
      <c r="H26" s="148" t="s">
        <v>119</v>
      </c>
      <c r="I26" s="149"/>
      <c r="J26" s="149"/>
      <c r="K26" s="149"/>
      <c r="L26" s="150"/>
      <c r="M26" s="24"/>
    </row>
    <row r="27" spans="2:13" ht="15.75" thickBot="1" x14ac:dyDescent="0.3">
      <c r="B27" s="23"/>
      <c r="E27" s="30" t="s">
        <v>91</v>
      </c>
      <c r="F27" s="30" t="s">
        <v>91</v>
      </c>
      <c r="G27" s="29"/>
      <c r="H27" s="174" t="s">
        <v>123</v>
      </c>
      <c r="I27" s="175"/>
      <c r="J27" s="175"/>
      <c r="K27" s="175"/>
      <c r="L27" s="176"/>
      <c r="M27" s="24"/>
    </row>
    <row r="28" spans="2:13" ht="15.75" thickBot="1" x14ac:dyDescent="0.3">
      <c r="B28" s="23"/>
      <c r="D28" s="31" t="s">
        <v>78</v>
      </c>
      <c r="E28" s="32" t="s">
        <v>114</v>
      </c>
      <c r="F28" s="32" t="s">
        <v>111</v>
      </c>
      <c r="H28" s="33" t="s">
        <v>102</v>
      </c>
      <c r="I28" s="34" t="s">
        <v>85</v>
      </c>
      <c r="J28" s="34" t="s">
        <v>122</v>
      </c>
      <c r="K28" s="29" t="s">
        <v>156</v>
      </c>
      <c r="L28" s="35" t="s">
        <v>85</v>
      </c>
      <c r="M28" s="24"/>
    </row>
    <row r="29" spans="2:13" x14ac:dyDescent="0.25">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45658</v>
      </c>
      <c r="F29" s="50">
        <f>IF('SDQ Period 1'!D6&lt;&gt;"", 'SDQ Period 1'!D6, "")</f>
        <v>45658</v>
      </c>
      <c r="H29" s="37" t="s">
        <v>222</v>
      </c>
      <c r="I29" s="38">
        <v>45962</v>
      </c>
      <c r="J29" s="38" t="s">
        <v>225</v>
      </c>
      <c r="K29" s="39" t="s">
        <v>223</v>
      </c>
      <c r="L29" s="40">
        <v>45962</v>
      </c>
      <c r="M29" s="24"/>
    </row>
    <row r="30" spans="2:13" x14ac:dyDescent="0.25">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45748</v>
      </c>
      <c r="F30" s="52">
        <f>IF('SDQ Period 2'!D6&lt;&gt;"", 'SDQ Period 2'!D6, "")</f>
        <v>45748</v>
      </c>
      <c r="H30" s="37" t="s">
        <v>222</v>
      </c>
      <c r="I30" s="38">
        <v>45962</v>
      </c>
      <c r="J30" s="38" t="s">
        <v>225</v>
      </c>
      <c r="K30" s="39" t="s">
        <v>223</v>
      </c>
      <c r="L30" s="40">
        <v>45962</v>
      </c>
      <c r="M30" s="24"/>
    </row>
    <row r="31" spans="2:13" x14ac:dyDescent="0.25">
      <c r="B31" s="23"/>
      <c r="D31" s="36" t="s">
        <v>77</v>
      </c>
      <c r="E31" s="51">
        <f>IF('Goal Based Outcomes (GBO)'!D15&lt;&gt;"", 'Goal Based Outcomes (GBO)'!D15, IF('Goal Based Outcomes (GBO)'!D38&lt;&gt;"", 'Goal Based Outcomes (GBO)'!D38, IF('Goal Based Outcomes (GBO)'!D61&lt;&gt;"", 'Goal Based Outcomes (GBO)'!D61, IF('Goal Based Outcomes (GBO)'!D84&lt;&gt;"",'Goal Based Outcomes (GBO)'!D84, ""))))</f>
        <v>45839</v>
      </c>
      <c r="F31" s="52">
        <f>IF('SDQ Period 3'!D6&lt;&gt;"", 'SDQ Period 3'!D6, "")</f>
        <v>45839</v>
      </c>
      <c r="H31" s="37" t="s">
        <v>222</v>
      </c>
      <c r="I31" s="38">
        <v>45962</v>
      </c>
      <c r="J31" s="38" t="s">
        <v>225</v>
      </c>
      <c r="K31" s="39" t="s">
        <v>223</v>
      </c>
      <c r="L31" s="40">
        <v>45962</v>
      </c>
      <c r="M31" s="24"/>
    </row>
    <row r="32" spans="2:13" x14ac:dyDescent="0.25">
      <c r="B32" s="23"/>
      <c r="D32" s="36" t="s">
        <v>79</v>
      </c>
      <c r="E32" s="51">
        <f>IF('Goal Based Outcomes (GBO)'!D16&lt;&gt;"", 'Goal Based Outcomes (GBO)'!D16, IF('Goal Based Outcomes (GBO)'!D39&lt;&gt;"", 'Goal Based Outcomes (GBO)'!D39, IF('Goal Based Outcomes (GBO)'!D62&lt;&gt;"", 'Goal Based Outcomes (GBO)'!D62, IF('Goal Based Outcomes (GBO)'!D85&lt;&gt;"",'Goal Based Outcomes (GBO)'!D85, ""))))</f>
        <v>45931</v>
      </c>
      <c r="F32" s="52">
        <f>IF('SDQ Period 4'!D6&lt;&gt;"", 'SDQ Period 4'!D6, "")</f>
        <v>45931</v>
      </c>
      <c r="H32" s="37" t="s">
        <v>222</v>
      </c>
      <c r="I32" s="38">
        <v>45962</v>
      </c>
      <c r="J32" s="38" t="s">
        <v>225</v>
      </c>
      <c r="K32" s="39" t="s">
        <v>223</v>
      </c>
      <c r="L32" s="40">
        <v>45962</v>
      </c>
      <c r="M32" s="24"/>
    </row>
    <row r="33" spans="2:13" x14ac:dyDescent="0.25">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5">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5">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5">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5.75" thickBot="1" x14ac:dyDescent="0.3">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5.75" thickBot="1" x14ac:dyDescent="0.3">
      <c r="B38" s="46"/>
      <c r="C38" s="47"/>
      <c r="D38" s="47"/>
      <c r="E38" s="47"/>
      <c r="F38" s="47"/>
      <c r="G38" s="47"/>
      <c r="H38" s="47"/>
      <c r="I38" s="47"/>
      <c r="J38" s="47"/>
      <c r="K38" s="47"/>
      <c r="L38" s="47"/>
      <c r="M38" s="48"/>
    </row>
    <row r="39" spans="2:13" ht="15.75" thickBot="1" x14ac:dyDescent="0.3"/>
    <row r="40" spans="2:13" x14ac:dyDescent="0.25">
      <c r="B40" s="20"/>
      <c r="C40" s="21"/>
      <c r="D40" s="21"/>
      <c r="E40" s="21"/>
      <c r="F40" s="21"/>
      <c r="G40" s="21"/>
      <c r="H40" s="21"/>
      <c r="I40" s="21"/>
      <c r="J40" s="21"/>
      <c r="K40" s="21"/>
      <c r="L40" s="21"/>
      <c r="M40" s="22"/>
    </row>
    <row r="41" spans="2:13" ht="15.75" thickBot="1" x14ac:dyDescent="0.3">
      <c r="B41" s="83"/>
      <c r="C41" s="25" t="s">
        <v>139</v>
      </c>
      <c r="D41" s="25"/>
      <c r="E41" s="25"/>
      <c r="M41" s="24"/>
    </row>
    <row r="42" spans="2:13" ht="15.75" thickBot="1" x14ac:dyDescent="0.3">
      <c r="B42" s="83"/>
      <c r="C42" s="25"/>
      <c r="D42" s="59" t="s">
        <v>141</v>
      </c>
      <c r="E42" s="61" t="s">
        <v>142</v>
      </c>
      <c r="F42" s="151" t="s">
        <v>154</v>
      </c>
      <c r="G42" s="152"/>
      <c r="H42" s="152"/>
      <c r="I42" s="152"/>
      <c r="J42" s="152"/>
      <c r="K42" s="152"/>
      <c r="L42" s="153"/>
      <c r="M42" s="24"/>
    </row>
    <row r="43" spans="2:13" ht="15.75" thickBot="1" x14ac:dyDescent="0.3">
      <c r="B43" s="83"/>
      <c r="C43" s="25"/>
      <c r="D43" s="29"/>
      <c r="E43" s="29"/>
      <c r="M43" s="24"/>
    </row>
    <row r="44" spans="2:13" x14ac:dyDescent="0.25">
      <c r="B44" s="23"/>
      <c r="C44" s="85" t="s">
        <v>140</v>
      </c>
      <c r="D44" s="106" t="str">
        <f>IF(COUNTA('Demographic Information'!A2:N2)=0, "",
   IF(COUNTA('Demographic Information'!A2:N2)=COLUMNS('Demographic Information'!A2:N2), "Complete", "Incomplete"))</f>
        <v>Complete</v>
      </c>
      <c r="E44" s="94" t="s">
        <v>226</v>
      </c>
      <c r="F44" s="177"/>
      <c r="G44" s="177"/>
      <c r="H44" s="177"/>
      <c r="I44" s="177"/>
      <c r="J44" s="177"/>
      <c r="K44" s="177"/>
      <c r="L44" s="178"/>
      <c r="M44" s="24"/>
    </row>
    <row r="45" spans="2:13" x14ac:dyDescent="0.25">
      <c r="B45" s="23"/>
      <c r="C45" s="86" t="s">
        <v>143</v>
      </c>
      <c r="D45" s="107" t="str">
        <f>IF(COUNTA('Goal Based Outcomes (GBO)'!L33:Q33)=0, "",
   IF(COUNTIF('Goal Based Outcomes (GBO)'!L33:Q33, "Incomplete")&gt;0, "Incomplete",
   IF(COUNTIF('Goal Based Outcomes (GBO)'!L33:Q33, "Complete")&gt;0, "Complete", "")))</f>
        <v>Complete</v>
      </c>
      <c r="E45" s="95" t="s">
        <v>226</v>
      </c>
      <c r="F45" s="170"/>
      <c r="G45" s="170"/>
      <c r="H45" s="170"/>
      <c r="I45" s="170"/>
      <c r="J45" s="170"/>
      <c r="K45" s="170"/>
      <c r="L45" s="171"/>
      <c r="M45" s="24"/>
    </row>
    <row r="46" spans="2:13" x14ac:dyDescent="0.25">
      <c r="B46" s="23"/>
      <c r="C46" s="86" t="s">
        <v>144</v>
      </c>
      <c r="D46" s="108" t="str" cm="1">
        <f t="array" ref="D46">IF(SUMPRODUCT(--(TRIM('SDQ Period 1'!K45:K48)&lt;&gt;""))=0, "", IF(COUNTIF('SDQ Period 1'!K45:K48, "Incomplete")&gt;0, "Incomplete", "Complete"))</f>
        <v>Complete</v>
      </c>
      <c r="E46" s="95" t="s">
        <v>226</v>
      </c>
      <c r="F46" s="170"/>
      <c r="G46" s="170"/>
      <c r="H46" s="170"/>
      <c r="I46" s="170"/>
      <c r="J46" s="170"/>
      <c r="K46" s="170"/>
      <c r="L46" s="171"/>
      <c r="M46" s="24"/>
    </row>
    <row r="47" spans="2:13" x14ac:dyDescent="0.25">
      <c r="B47" s="23"/>
      <c r="C47" s="86" t="s">
        <v>145</v>
      </c>
      <c r="D47" s="108" t="str" cm="1">
        <f t="array" ref="D47">IF(SUMPRODUCT(--(TRIM('SDQ Period 2'!K45:K48)&lt;&gt;""))=0, "", IF(COUNTIF('SDQ Period 2'!K45:K48, "Incomplete")&gt;0, "Incomplete", "Complete"))</f>
        <v>Complete</v>
      </c>
      <c r="E47" s="95" t="s">
        <v>226</v>
      </c>
      <c r="F47" s="170"/>
      <c r="G47" s="170"/>
      <c r="H47" s="170"/>
      <c r="I47" s="170"/>
      <c r="J47" s="170"/>
      <c r="K47" s="170"/>
      <c r="L47" s="171"/>
      <c r="M47" s="24"/>
    </row>
    <row r="48" spans="2:13" x14ac:dyDescent="0.25">
      <c r="B48" s="23"/>
      <c r="C48" s="86" t="s">
        <v>146</v>
      </c>
      <c r="D48" s="108" t="str" cm="1">
        <f t="array" ref="D48">IF(SUMPRODUCT(--(TRIM('SDQ Period 3'!K45:K48)&lt;&gt;""))=0, "", IF(COUNTIF('SDQ Period 3'!K45:K48, "Incomplete")&gt;0, "Incomplete", "Complete"))</f>
        <v>Complete</v>
      </c>
      <c r="E48" s="95" t="s">
        <v>226</v>
      </c>
      <c r="F48" s="170"/>
      <c r="G48" s="170"/>
      <c r="H48" s="170"/>
      <c r="I48" s="170"/>
      <c r="J48" s="170"/>
      <c r="K48" s="170"/>
      <c r="L48" s="171"/>
      <c r="M48" s="24"/>
    </row>
    <row r="49" spans="2:13" x14ac:dyDescent="0.25">
      <c r="B49" s="23"/>
      <c r="C49" s="86" t="s">
        <v>147</v>
      </c>
      <c r="D49" s="108" t="str" cm="1">
        <f t="array" ref="D49">IF(SUMPRODUCT(--(TRIM('SDQ Period 4'!K45:K48)&lt;&gt;""))=0, "", IF(COUNTIF('SDQ Period 4'!K45:K48, "Incomplete")&gt;0, "Incomplete", "Complete"))</f>
        <v>Complete</v>
      </c>
      <c r="E49" s="95" t="s">
        <v>226</v>
      </c>
      <c r="F49" s="170"/>
      <c r="G49" s="170"/>
      <c r="H49" s="170"/>
      <c r="I49" s="170"/>
      <c r="J49" s="170"/>
      <c r="K49" s="170"/>
      <c r="L49" s="171"/>
      <c r="M49" s="24"/>
    </row>
    <row r="50" spans="2:13" x14ac:dyDescent="0.25">
      <c r="B50" s="23"/>
      <c r="C50" s="86" t="s">
        <v>148</v>
      </c>
      <c r="D50" s="108" t="str" cm="1">
        <f t="array" ref="D50">IF(SUMPRODUCT(--(TRIM('SDQ Period 5'!K45:K48)&lt;&gt;""))=0, "", IF(COUNTIF('SDQ Period 5'!K45:K48, "Incomplete")&gt;0, "Incomplete", "Complete"))</f>
        <v/>
      </c>
      <c r="E50" s="95"/>
      <c r="F50" s="170"/>
      <c r="G50" s="170"/>
      <c r="H50" s="170"/>
      <c r="I50" s="170"/>
      <c r="J50" s="170"/>
      <c r="K50" s="170"/>
      <c r="L50" s="171"/>
      <c r="M50" s="24"/>
    </row>
    <row r="51" spans="2:13" x14ac:dyDescent="0.25">
      <c r="B51" s="23"/>
      <c r="C51" s="86" t="s">
        <v>149</v>
      </c>
      <c r="D51" s="108" t="str" cm="1">
        <f t="array" ref="D51">IF(SUMPRODUCT(--(TRIM('SDQ Period 6'!K45:K48)&lt;&gt;""))=0, "", IF(COUNTIF('SDQ Period 6'!K45:K48, "Incomplete")&gt;0, "Incomplete", "Complete"))</f>
        <v/>
      </c>
      <c r="E51" s="95"/>
      <c r="F51" s="170"/>
      <c r="G51" s="170"/>
      <c r="H51" s="170"/>
      <c r="I51" s="170"/>
      <c r="J51" s="170"/>
      <c r="K51" s="170"/>
      <c r="L51" s="171"/>
      <c r="M51" s="24"/>
    </row>
    <row r="52" spans="2:13" x14ac:dyDescent="0.25">
      <c r="B52" s="23"/>
      <c r="C52" s="86" t="s">
        <v>150</v>
      </c>
      <c r="D52" s="108" t="str" cm="1">
        <f t="array" ref="D52">IF(SUMPRODUCT(--(TRIM('SDQ Period 7'!K45:K48)&lt;&gt;""))=0, "", IF(COUNTIF('SDQ Period 7'!K45:K48, "Incomplete")&gt;0, "Incomplete", "Complete"))</f>
        <v/>
      </c>
      <c r="E52" s="95"/>
      <c r="F52" s="170"/>
      <c r="G52" s="170"/>
      <c r="H52" s="170"/>
      <c r="I52" s="170"/>
      <c r="J52" s="170"/>
      <c r="K52" s="170"/>
      <c r="L52" s="171"/>
      <c r="M52" s="24"/>
    </row>
    <row r="53" spans="2:13" x14ac:dyDescent="0.25">
      <c r="B53" s="23"/>
      <c r="C53" s="86" t="s">
        <v>151</v>
      </c>
      <c r="D53" s="108" t="str" cm="1">
        <f t="array" ref="D53">IF(SUMPRODUCT(--(TRIM('SDQ Period 8'!K45:K48)&lt;&gt;""))=0, "", IF(COUNTIF('SDQ Period 8'!K45:K48, "Incomplete")&gt;0, "Incomplete", "Complete"))</f>
        <v/>
      </c>
      <c r="E53" s="95"/>
      <c r="F53" s="170"/>
      <c r="G53" s="170"/>
      <c r="H53" s="170"/>
      <c r="I53" s="170"/>
      <c r="J53" s="170"/>
      <c r="K53" s="170"/>
      <c r="L53" s="171"/>
      <c r="M53" s="24"/>
    </row>
    <row r="54" spans="2:13" ht="15.75" thickBot="1" x14ac:dyDescent="0.3">
      <c r="B54" s="23"/>
      <c r="C54" s="87" t="s">
        <v>152</v>
      </c>
      <c r="D54" s="109" t="str" cm="1">
        <f t="array" ref="D54">IF(SUMPRODUCT(--(TRIM('SDQ Period 9'!K45:K48)&lt;&gt;""))=0, "", IF(COUNTIF('SDQ Period 9'!K45:K48, "Incomplete")&gt;0, "Incomplete", "Complete"))</f>
        <v/>
      </c>
      <c r="E54" s="96"/>
      <c r="F54" s="172"/>
      <c r="G54" s="172"/>
      <c r="H54" s="172"/>
      <c r="I54" s="172"/>
      <c r="J54" s="172"/>
      <c r="K54" s="172"/>
      <c r="L54" s="173"/>
      <c r="M54" s="24"/>
    </row>
    <row r="55" spans="2:13" ht="15.75" thickBot="1" x14ac:dyDescent="0.3">
      <c r="B55" s="23"/>
      <c r="M55" s="24"/>
    </row>
    <row r="56" spans="2:13" ht="15.75" thickBot="1" x14ac:dyDescent="0.3">
      <c r="B56" s="23"/>
      <c r="E56" s="84" t="str">
        <f>IF(COUNTA(E44:E54)=0, "", IF(COUNTIF(E44:E54, "No")&gt;0, "No", "Yes"))</f>
        <v>Yes</v>
      </c>
      <c r="F56" s="19" t="s">
        <v>161</v>
      </c>
      <c r="M56" s="24"/>
    </row>
    <row r="57" spans="2:13" ht="15.75" thickBot="1" x14ac:dyDescent="0.3">
      <c r="B57" s="46"/>
      <c r="C57" s="47"/>
      <c r="D57" s="47"/>
      <c r="E57" s="47"/>
      <c r="F57" s="47"/>
      <c r="G57" s="47"/>
      <c r="H57" s="47"/>
      <c r="I57" s="47"/>
      <c r="J57" s="47"/>
      <c r="K57" s="47"/>
      <c r="L57" s="47"/>
      <c r="M57" s="48"/>
    </row>
  </sheetData>
  <sheetProtection algorithmName="SHA-512" hashValue="l1fwnT4sbV2ypB1NXXlYnikQ7ZwUN6OUNcsmzAyV8GUVa0pxfJB2XAVeAkP9t+SlcdAUPZDBkHW8UuImR+969A==" saltValue="s9WkpZQwmxY7wa4aBb/iqA==" spinCount="100000" sheet="1" selectLockedCells="1"/>
  <mergeCells count="15">
    <mergeCell ref="H26:L26"/>
    <mergeCell ref="E26:F26"/>
    <mergeCell ref="H27:L27"/>
    <mergeCell ref="F42:L42"/>
    <mergeCell ref="F44:L44"/>
    <mergeCell ref="F45:L45"/>
    <mergeCell ref="F46:L46"/>
    <mergeCell ref="F47:L47"/>
    <mergeCell ref="F48:L48"/>
    <mergeCell ref="F49:L49"/>
    <mergeCell ref="F50:L50"/>
    <mergeCell ref="F51:L51"/>
    <mergeCell ref="F52:L52"/>
    <mergeCell ref="F53:L53"/>
    <mergeCell ref="F54:L5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defaultRowHeight="15" x14ac:dyDescent="0.25"/>
  <sheetData>
    <row r="5" spans="3:12" ht="21" x14ac:dyDescent="0.35">
      <c r="C5" s="9" t="s">
        <v>101</v>
      </c>
      <c r="D5" s="9"/>
      <c r="E5" s="9"/>
      <c r="F5" s="9"/>
      <c r="G5" s="9"/>
      <c r="H5" s="9"/>
      <c r="I5" s="9"/>
      <c r="J5" s="9"/>
      <c r="K5" s="9"/>
      <c r="L5" s="9"/>
    </row>
    <row r="6" spans="3:12" ht="21" x14ac:dyDescent="0.35">
      <c r="C6" s="9"/>
      <c r="D6" s="9"/>
      <c r="E6" s="9"/>
      <c r="F6" s="9"/>
      <c r="G6" s="9"/>
      <c r="H6" s="9"/>
      <c r="I6" s="9"/>
      <c r="J6" s="9"/>
      <c r="K6" s="9"/>
      <c r="L6" s="9"/>
    </row>
    <row r="7" spans="3:12" x14ac:dyDescent="0.25">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2025-11-01T20:09:34Z</dcterms:modified>
</cp:coreProperties>
</file>